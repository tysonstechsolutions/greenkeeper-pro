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brooke_n_nelson2_naf_us_navy_mil/Documents/Desktop/September/"/>
    </mc:Choice>
  </mc:AlternateContent>
  <xr:revisionPtr revIDLastSave="185" documentId="8_{B5B8C230-2746-4422-B6E8-0456F1F99024}" xr6:coauthVersionLast="47" xr6:coauthVersionMax="47" xr10:uidLastSave="{35433491-564F-4C1C-B2E5-D0CEED1A1594}"/>
  <bookViews>
    <workbookView xWindow="130" yWindow="440" windowWidth="19070" windowHeight="9640" tabRatio="500" xr2:uid="{00000000-000D-0000-FFFF-FFFF00000000}"/>
  </bookViews>
  <sheets>
    <sheet name="BUCKLEYS BAR" sheetId="1" r:id="rId1"/>
  </sheets>
  <definedNames>
    <definedName name="_xlnm._FilterDatabase" localSheetId="0" hidden="1">'BUCKLEYS BAR'!$A$10:$J$10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1" i="1"/>
  <c r="J17" i="1"/>
  <c r="J18" i="1"/>
  <c r="J19" i="1"/>
  <c r="J20" i="1"/>
  <c r="J21" i="1"/>
  <c r="J22" i="1"/>
  <c r="J23" i="1"/>
  <c r="J26" i="1"/>
  <c r="J27" i="1"/>
  <c r="J28" i="1"/>
  <c r="J29" i="1"/>
  <c r="J30" i="1"/>
  <c r="J31" i="1"/>
  <c r="J32" i="1"/>
  <c r="J33" i="1"/>
  <c r="J34" i="1"/>
  <c r="J35" i="1"/>
  <c r="J36" i="1"/>
  <c r="J37" i="1"/>
  <c r="J40" i="1"/>
  <c r="J41" i="1"/>
  <c r="J42" i="1"/>
  <c r="J43" i="1"/>
  <c r="J44" i="1"/>
  <c r="J45" i="1"/>
  <c r="J46" i="1"/>
  <c r="J47" i="1"/>
  <c r="J50" i="1"/>
  <c r="J51" i="1"/>
  <c r="J52" i="1"/>
  <c r="J53" i="1"/>
  <c r="J54" i="1"/>
  <c r="J55" i="1"/>
  <c r="J56" i="1"/>
  <c r="J57" i="1"/>
  <c r="J58" i="1"/>
  <c r="J64" i="1"/>
  <c r="J65" i="1"/>
  <c r="J66" i="1"/>
  <c r="J67" i="1"/>
  <c r="J68" i="1"/>
  <c r="J69" i="1"/>
  <c r="J70" i="1"/>
  <c r="J75" i="1"/>
  <c r="J76" i="1"/>
  <c r="J77" i="1"/>
  <c r="J78" i="1"/>
  <c r="J79" i="1"/>
  <c r="J80" i="1"/>
  <c r="J81" i="1"/>
  <c r="J82" i="1"/>
  <c r="J86" i="1"/>
  <c r="J87" i="1"/>
  <c r="J89" i="1"/>
  <c r="J90" i="1"/>
  <c r="J91" i="1"/>
  <c r="J92" i="1"/>
  <c r="J93" i="1"/>
  <c r="J94" i="1"/>
  <c r="J100" i="1"/>
  <c r="J101" i="1"/>
  <c r="J102" i="1"/>
  <c r="J103" i="1"/>
  <c r="J104" i="1"/>
  <c r="J105" i="1"/>
  <c r="J106" i="1"/>
  <c r="J107" i="1"/>
  <c r="J110" i="1"/>
  <c r="J111" i="1"/>
  <c r="J112" i="1"/>
  <c r="J113" i="1"/>
  <c r="J114" i="1"/>
  <c r="J115" i="1"/>
  <c r="J116" i="1"/>
  <c r="J117" i="1"/>
  <c r="J118" i="1"/>
  <c r="J122" i="1"/>
  <c r="J123" i="1"/>
  <c r="J124" i="1"/>
  <c r="J125" i="1"/>
  <c r="J126" i="1"/>
  <c r="J127" i="1"/>
  <c r="J128" i="1"/>
  <c r="J129" i="1"/>
  <c r="J130" i="1"/>
  <c r="J134" i="1"/>
  <c r="J135" i="1"/>
  <c r="J136" i="1"/>
  <c r="J137" i="1"/>
  <c r="J138" i="1"/>
  <c r="J139" i="1"/>
  <c r="J140" i="1"/>
  <c r="J141" i="1"/>
  <c r="J142" i="1"/>
  <c r="J143" i="1"/>
  <c r="J132" i="1"/>
  <c r="J133" i="1"/>
  <c r="J131" i="1"/>
  <c r="J14" i="1"/>
  <c r="J121" i="1"/>
  <c r="J120" i="1"/>
  <c r="J119" i="1"/>
  <c r="J109" i="1"/>
  <c r="J108" i="1"/>
  <c r="J99" i="1"/>
  <c r="J98" i="1"/>
  <c r="J97" i="1"/>
  <c r="J96" i="1"/>
  <c r="J95" i="1"/>
  <c r="J88" i="1"/>
  <c r="J85" i="1"/>
  <c r="J84" i="1"/>
  <c r="J83" i="1"/>
  <c r="J74" i="1"/>
  <c r="J73" i="1"/>
  <c r="J71" i="1"/>
  <c r="J63" i="1"/>
  <c r="J62" i="1"/>
  <c r="J61" i="1"/>
  <c r="J60" i="1"/>
  <c r="J59" i="1"/>
  <c r="J49" i="1"/>
  <c r="J48" i="1"/>
  <c r="J39" i="1"/>
  <c r="J38" i="1"/>
  <c r="J25" i="1"/>
  <c r="J24" i="1"/>
  <c r="J16" i="1"/>
  <c r="J15" i="1"/>
  <c r="J13" i="1"/>
  <c r="J12" i="1"/>
  <c r="J11" i="1"/>
  <c r="J146" i="1" l="1"/>
  <c r="J3" i="1" s="1"/>
</calcChain>
</file>

<file path=xl/sharedStrings.xml><?xml version="1.0" encoding="utf-8"?>
<sst xmlns="http://schemas.openxmlformats.org/spreadsheetml/2006/main" count="427" uniqueCount="177">
  <si>
    <t>FACILITY</t>
  </si>
  <si>
    <t>SITE NO</t>
  </si>
  <si>
    <t>COST CTR</t>
  </si>
  <si>
    <t>ACCOUNT</t>
  </si>
  <si>
    <t>MONTH ENDING</t>
  </si>
  <si>
    <t>BUCKLEY'S - BAR</t>
  </si>
  <si>
    <t>7009</t>
  </si>
  <si>
    <t>20091</t>
  </si>
  <si>
    <t>151120</t>
  </si>
  <si>
    <t xml:space="preserve">TOTAL: </t>
  </si>
  <si>
    <t xml:space="preserve">COUNTED BY: </t>
  </si>
  <si>
    <t xml:space="preserve">DATE: </t>
  </si>
  <si>
    <t xml:space="preserve">RECORDED BY: </t>
  </si>
  <si>
    <t>COMPUTER ENTRY:</t>
  </si>
  <si>
    <t xml:space="preserve">REVIEWED BY: </t>
  </si>
  <si>
    <t>DATE:</t>
  </si>
  <si>
    <t>DESCRIPTION</t>
  </si>
  <si>
    <t>TYPE</t>
  </si>
  <si>
    <t>UNIT</t>
  </si>
  <si>
    <t>Cooler</t>
  </si>
  <si>
    <t>Dry Storage</t>
  </si>
  <si>
    <t>Pro Shop</t>
  </si>
  <si>
    <t>Bar</t>
  </si>
  <si>
    <t>Count Total</t>
  </si>
  <si>
    <t>COST</t>
  </si>
  <si>
    <t>TOTAL</t>
  </si>
  <si>
    <t>EMPTY KEGS (VERIFY COUNT)</t>
  </si>
  <si>
    <t>BEER</t>
  </si>
  <si>
    <t>KG</t>
  </si>
  <si>
    <t>ANGRY ORCHARD 16OZ</t>
  </si>
  <si>
    <t>SPECIAL</t>
  </si>
  <si>
    <t>CAN</t>
  </si>
  <si>
    <t>BLUE MOON 16OZ</t>
  </si>
  <si>
    <t>BUD 16 OZ</t>
  </si>
  <si>
    <t>BUD 16 OZ (BULLET)</t>
  </si>
  <si>
    <t>Bullet</t>
  </si>
  <si>
    <t>BUD LITE 16 OZ</t>
  </si>
  <si>
    <t>BUD LITE 16 OZ (BULLET)</t>
  </si>
  <si>
    <t>BUFFALO CREEK: LONG GROVE</t>
  </si>
  <si>
    <t>CARBLISS 12OZ</t>
  </si>
  <si>
    <t>COORS BANQUET 16OZ</t>
  </si>
  <si>
    <t>ALBTL</t>
  </si>
  <si>
    <t>COORS LIGHT 16OZ</t>
  </si>
  <si>
    <t>COORS LIGHT 16OZ (ALBTL)</t>
  </si>
  <si>
    <t>CORONA EXTRA 16OZ</t>
  </si>
  <si>
    <t>CORONA PREMIER 16 OZ</t>
  </si>
  <si>
    <t>CUTWATER 12OZ LIME MARGARITA</t>
  </si>
  <si>
    <t>Seltzer</t>
  </si>
  <si>
    <t>CUTWATER 12OZ LONG ISLAND ICED TEA</t>
  </si>
  <si>
    <t>CUTWATER 12OZ MANGO MARGARITA</t>
  </si>
  <si>
    <t>CUTWATER 12OZ TIKI RUN MAI TAI</t>
  </si>
  <si>
    <t>CUTWATER 12OZ PEACH MARGARITA</t>
  </si>
  <si>
    <t>CUTWATER 12OZ PINA COLADA</t>
  </si>
  <si>
    <t>CUTWATER 12OZ PINEAPPLE MARGARITA</t>
  </si>
  <si>
    <t>CUTWATER 12OZ VODKA MULE</t>
  </si>
  <si>
    <t>CUTWATER 12OZ LEMON DROP MARTINI</t>
  </si>
  <si>
    <t>CUTWATER 12OZ STRAWBERRY MARGARITA</t>
  </si>
  <si>
    <t>CUTWATER 12OZ EXPRESSO MARTINI</t>
  </si>
  <si>
    <t>CUTWATER 12OZ VODKA TRANSFUSION</t>
  </si>
  <si>
    <t>CUTWATER 12OZ WHITE RUSSIAN</t>
  </si>
  <si>
    <t>GOOSE ISLAND IPA 16OZ</t>
  </si>
  <si>
    <t>GOOSE ISLAND: TROPICAL HUG</t>
  </si>
  <si>
    <t>GUINESS 16OZ</t>
  </si>
  <si>
    <t>SUMMER SHANDY 12 OZ</t>
  </si>
  <si>
    <t>LEINENKUGEL: SUMMER SHAND</t>
  </si>
  <si>
    <t>MICHALOB: ULTRA 16 OZ</t>
  </si>
  <si>
    <t>MICHALOB ULTRA 16OZ (BULLET)</t>
  </si>
  <si>
    <t>MIKES HARDER, ASST 16OZ</t>
  </si>
  <si>
    <t>MILLER LIGHT 16OZ</t>
  </si>
  <si>
    <t>MILLER LITE 12 OZ</t>
  </si>
  <si>
    <t>MODELO ESPECIAL 16OZ</t>
  </si>
  <si>
    <t>PABST 16 OZ</t>
  </si>
  <si>
    <t>PACIFICO 16 OZ</t>
  </si>
  <si>
    <t>REVOLUTION ANTI HERO 16OZ</t>
  </si>
  <si>
    <t>REVOLUTION FIST CITY 12OZ</t>
  </si>
  <si>
    <t>REVOLUTION HAZY HERO 12OZ</t>
  </si>
  <si>
    <t>SAM ADAMS: LAGER 12 OZ</t>
  </si>
  <si>
    <t>BTL</t>
  </si>
  <si>
    <t>SIERRA NEVADA TORPEDO</t>
  </si>
  <si>
    <t>STELLA</t>
  </si>
  <si>
    <t>TIGHTHEAD IRIE IPA 16OZ</t>
  </si>
  <si>
    <t>DIRTY SHIRLY</t>
  </si>
  <si>
    <t>SUNCRUISER HARD TEA 12OZ</t>
  </si>
  <si>
    <t>TWISTED TEA 16OZ</t>
  </si>
  <si>
    <t>WHITE CLAW: VARIETRY 12 OZ</t>
  </si>
  <si>
    <t>WHITE CLAW, ASST 16OZ</t>
  </si>
  <si>
    <t>YUENGLING</t>
  </si>
  <si>
    <t>BULLET</t>
  </si>
  <si>
    <t>YUENGLING FLIGHT</t>
  </si>
  <si>
    <t>JUICE: CRANBERRY (10 OZ)</t>
  </si>
  <si>
    <t>DRY</t>
  </si>
  <si>
    <t>JUICE: ORANGE (10 OZ)</t>
  </si>
  <si>
    <t>GINGER ALE 12OZ</t>
  </si>
  <si>
    <t>CLUB SODA 10OZ</t>
  </si>
  <si>
    <t>MIX: BLOODY MARY (LITER)</t>
  </si>
  <si>
    <t>JUICE: PINEAPPLE 7.2 OZ</t>
  </si>
  <si>
    <t>TONIC 10 OZ</t>
  </si>
  <si>
    <t>TONIC 7.2 OZ</t>
  </si>
  <si>
    <t>MIX: MARGARITA (LITER)</t>
  </si>
  <si>
    <t>MIX: SWEET AND SOUR (LITER)</t>
  </si>
  <si>
    <t>MIX: GRENADINE (LITER)</t>
  </si>
  <si>
    <t>SUTTER/HOME: CABARNET</t>
  </si>
  <si>
    <t>WINE</t>
  </si>
  <si>
    <t>MINI</t>
  </si>
  <si>
    <t>SUTTER/HOME: CHARDONNAY</t>
  </si>
  <si>
    <t>SUTTER/HOME: REISLING</t>
  </si>
  <si>
    <t>SUTTER/HOME: MERLOT</t>
  </si>
  <si>
    <t>SUTTER/HOME: PINOT GRIGIO</t>
  </si>
  <si>
    <t>SUTTER/HOME: WHITE ZINFADEL</t>
  </si>
  <si>
    <t>COPA DI VINO: PINOT GRIGIO</t>
  </si>
  <si>
    <t>COPA DI VINO: RIESLING</t>
  </si>
  <si>
    <t>ABSOLUT CITRON</t>
  </si>
  <si>
    <t>LIQUOR</t>
  </si>
  <si>
    <t>LTR</t>
  </si>
  <si>
    <t>AMARETTO</t>
  </si>
  <si>
    <t>BACARDI LIGHT</t>
  </si>
  <si>
    <t>BAILEYS IRISH</t>
  </si>
  <si>
    <t>BLUE CURACAO</t>
  </si>
  <si>
    <t>CUTWATER: GIN</t>
  </si>
  <si>
    <t>750</t>
  </si>
  <si>
    <t>CHAMBORD</t>
  </si>
  <si>
    <t>COURVOISIER (PROMO)</t>
  </si>
  <si>
    <t>CROWN ROYAL</t>
  </si>
  <si>
    <t>FIREBALL</t>
  </si>
  <si>
    <t>GIN: ARISTOCRAT</t>
  </si>
  <si>
    <t>GRAND MARNIER</t>
  </si>
  <si>
    <t>HENNESSEY</t>
  </si>
  <si>
    <t>J. BAVET</t>
  </si>
  <si>
    <t>JACK DANIELS</t>
  </si>
  <si>
    <t>JACK DANIELS: HONEY</t>
  </si>
  <si>
    <t>JAGERMEISTER</t>
  </si>
  <si>
    <t>JAMESON</t>
  </si>
  <si>
    <t>JIM BEAM</t>
  </si>
  <si>
    <t>LIQOR</t>
  </si>
  <si>
    <t>KAHLUA</t>
  </si>
  <si>
    <t>MAKERS MARK</t>
  </si>
  <si>
    <t>PATRON SILVER</t>
  </si>
  <si>
    <t>750 ML</t>
  </si>
  <si>
    <t>RUM: CAPT. MORGAN</t>
  </si>
  <si>
    <t>RUM: WELL: CASTILLO</t>
  </si>
  <si>
    <t>RUM: MALIBU</t>
  </si>
  <si>
    <t>SCHNAPPS: PEACH</t>
  </si>
  <si>
    <t>SCOTCH: BELLOWS</t>
  </si>
  <si>
    <t>SOUTHERN COMFORT</t>
  </si>
  <si>
    <t>TEQUILA: CASAMIGOS</t>
  </si>
  <si>
    <t>TEQUILA: JOSE CUERVO GOLD</t>
  </si>
  <si>
    <t>TEQUILA: WELL: ARANDAS</t>
  </si>
  <si>
    <t>TEQUILA: 1800</t>
  </si>
  <si>
    <t>TRIPLE SEC</t>
  </si>
  <si>
    <t>VERMOUTH - DRY</t>
  </si>
  <si>
    <t>VERMOUTH - SWEET</t>
  </si>
  <si>
    <t>VODKA: ARISTOCRAT</t>
  </si>
  <si>
    <t>VODKA: KETTLE ONE</t>
  </si>
  <si>
    <t>VODKA: TITO'S</t>
  </si>
  <si>
    <t>WILD TURKEY</t>
  </si>
  <si>
    <t>DOS EQUIS</t>
  </si>
  <si>
    <t>HEINEKEN</t>
  </si>
  <si>
    <t>SHINER BOCK</t>
  </si>
  <si>
    <t>GOOSE ISLAND 312</t>
  </si>
  <si>
    <t>OVERTIME</t>
  </si>
  <si>
    <t>HEINEKEN 0.0</t>
  </si>
  <si>
    <t>SIERRA NEVADA HAZY LITTLE</t>
  </si>
  <si>
    <t xml:space="preserve">MIKES HARDER BLK CHERRY </t>
  </si>
  <si>
    <t>MIKES HARDER LEMONADE</t>
  </si>
  <si>
    <t>MIKES HARDER CRANBERRY</t>
  </si>
  <si>
    <t>WHITE CLAW BLK CHERRY</t>
  </si>
  <si>
    <t>SELTZER</t>
  </si>
  <si>
    <t>WHITE CLAW PEACH</t>
  </si>
  <si>
    <t>OVERTIME MARGARITA BANGER</t>
  </si>
  <si>
    <t>OVERTIME WATERMELON SMASH</t>
  </si>
  <si>
    <t>CARBLISS BLK CHERRY</t>
  </si>
  <si>
    <t>CARBLISS BLK RASPBERRY</t>
  </si>
  <si>
    <t>CARBLISS CRANBERRY</t>
  </si>
  <si>
    <t>CARBLISS LEMON LIME</t>
  </si>
  <si>
    <t>CARBLISS PASSION FRUIT</t>
  </si>
  <si>
    <t>CARBLISS PEACH</t>
  </si>
  <si>
    <t>CARBLISS 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</si>
</sst>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\$#,##0.00"/>
    <numFmt numFmtId="166" formatCode="0.000"/>
    <numFmt numFmtId="167" formatCode="#,##0.00;\(#,##0.00\);\-"/>
    <numFmt numFmtId="168" formatCode="\$#,##0.00;&quot;($&quot;#,##0.00\);\-"/>
  </numFmts>
  <fonts count="6">
    <font>
      <sz val="11"/>
      <color theme="1"/>
      <name val="Calibri"/>
      <family val="2"/>
      <charset val="1"/>
    </font>
    <font>
      <b/>
      <sz val="10"/>
      <name val="Arial"/>
      <charset val="1"/>
    </font>
    <font>
      <b/>
      <i/>
      <sz val="12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5B9BD5"/>
        <bgColor rgb="FF808080"/>
      </patternFill>
    </fill>
    <fill>
      <patternFill patternType="solid">
        <fgColor rgb="FFFFFFCC"/>
        <bgColor rgb="FFFFFFF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3" fillId="4" borderId="1" xfId="0" applyFont="1" applyFill="1" applyBorder="1"/>
    <xf numFmtId="0" fontId="0" fillId="3" borderId="1" xfId="0" applyFill="1" applyBorder="1"/>
    <xf numFmtId="166" fontId="0" fillId="0" borderId="1" xfId="0" applyNumberFormat="1" applyBorder="1"/>
    <xf numFmtId="167" fontId="0" fillId="0" borderId="1" xfId="0" applyNumberFormat="1" applyBorder="1"/>
    <xf numFmtId="168" fontId="4" fillId="0" borderId="2" xfId="0" applyNumberFormat="1" applyFont="1" applyBorder="1"/>
    <xf numFmtId="14" fontId="0" fillId="0" borderId="0" xfId="0" applyNumberFormat="1"/>
    <xf numFmtId="0" fontId="3" fillId="4" borderId="0" xfId="0" applyFont="1" applyFill="1"/>
    <xf numFmtId="0" fontId="0" fillId="4" borderId="0" xfId="0" applyFill="1"/>
    <xf numFmtId="0" fontId="0" fillId="3" borderId="0" xfId="0" applyFill="1"/>
    <xf numFmtId="166" fontId="0" fillId="0" borderId="0" xfId="0" applyNumberFormat="1"/>
    <xf numFmtId="167" fontId="0" fillId="0" borderId="0" xfId="0" applyNumberFormat="1"/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46"/>
  <sheetViews>
    <sheetView tabSelected="1" zoomScaleNormal="100" workbookViewId="0">
      <pane xSplit="1" ySplit="10" topLeftCell="B11" activePane="bottomRight" state="frozen"/>
      <selection pane="bottomRight" activeCell="H11" sqref="H11"/>
      <selection pane="bottomLeft" activeCell="A11" sqref="A11"/>
      <selection pane="topRight" activeCell="B1" sqref="B1"/>
    </sheetView>
  </sheetViews>
  <sheetFormatPr defaultColWidth="8.7109375" defaultRowHeight="14.45"/>
  <cols>
    <col min="1" max="1" width="40.85546875" bestFit="1" customWidth="1"/>
    <col min="2" max="10" width="16.42578125" customWidth="1"/>
  </cols>
  <sheetData>
    <row r="1" spans="1:10">
      <c r="A1" s="1" t="s">
        <v>0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ht="15.6">
      <c r="A2" s="2" t="s">
        <v>5</v>
      </c>
      <c r="G2" t="s">
        <v>6</v>
      </c>
      <c r="H2" t="s">
        <v>7</v>
      </c>
      <c r="I2" t="s">
        <v>8</v>
      </c>
      <c r="J2" s="3">
        <v>46295</v>
      </c>
    </row>
    <row r="3" spans="1:10">
      <c r="I3" s="1" t="s">
        <v>9</v>
      </c>
      <c r="J3" s="4">
        <f>'BUCKLEYS BAR'!$J$146</f>
        <v>2089.9654999999998</v>
      </c>
    </row>
    <row r="4" spans="1:10">
      <c r="A4" s="1" t="s">
        <v>10</v>
      </c>
      <c r="C4" s="1" t="s">
        <v>11</v>
      </c>
      <c r="D4" s="14"/>
    </row>
    <row r="6" spans="1:10">
      <c r="A6" s="1" t="s">
        <v>12</v>
      </c>
      <c r="C6" s="1" t="s">
        <v>11</v>
      </c>
      <c r="D6" s="21"/>
    </row>
    <row r="7" spans="1:10">
      <c r="G7" s="1" t="s">
        <v>13</v>
      </c>
    </row>
    <row r="8" spans="1:10">
      <c r="A8" s="1" t="s">
        <v>14</v>
      </c>
      <c r="C8" s="1" t="s">
        <v>15</v>
      </c>
      <c r="D8" s="21"/>
    </row>
    <row r="10" spans="1:10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21</v>
      </c>
      <c r="G10" s="5" t="s">
        <v>22</v>
      </c>
      <c r="H10" s="6" t="s">
        <v>23</v>
      </c>
      <c r="I10" s="5" t="s">
        <v>24</v>
      </c>
      <c r="J10" s="5" t="s">
        <v>25</v>
      </c>
    </row>
    <row r="11" spans="1:10" ht="32.25" customHeight="1">
      <c r="A11" s="7" t="s">
        <v>26</v>
      </c>
      <c r="B11" s="7" t="s">
        <v>27</v>
      </c>
      <c r="C11" s="7" t="s">
        <v>28</v>
      </c>
      <c r="D11" s="8"/>
      <c r="E11" s="8"/>
      <c r="F11" s="8"/>
      <c r="G11" s="9"/>
      <c r="H11" s="10">
        <f>SUM(D11:G11)</f>
        <v>0</v>
      </c>
      <c r="I11" s="11">
        <v>0</v>
      </c>
      <c r="J11" s="12">
        <f t="shared" ref="J11:J54" si="0">SUM(H11*I11)</f>
        <v>0</v>
      </c>
    </row>
    <row r="12" spans="1:10" ht="32.25" customHeight="1">
      <c r="A12" s="7" t="s">
        <v>29</v>
      </c>
      <c r="B12" s="7" t="s">
        <v>30</v>
      </c>
      <c r="C12" s="7" t="s">
        <v>31</v>
      </c>
      <c r="D12" s="9">
        <v>12</v>
      </c>
      <c r="E12" s="8"/>
      <c r="F12" s="9">
        <v>6</v>
      </c>
      <c r="G12" s="9">
        <v>4</v>
      </c>
      <c r="H12" s="10">
        <f t="shared" ref="H12:H75" si="1">SUM(D12:G12)</f>
        <v>22</v>
      </c>
      <c r="I12" s="11">
        <v>1.57</v>
      </c>
      <c r="J12" s="12">
        <f t="shared" si="0"/>
        <v>34.54</v>
      </c>
    </row>
    <row r="13" spans="1:10" ht="32.25" customHeight="1">
      <c r="A13" s="7" t="s">
        <v>32</v>
      </c>
      <c r="B13" s="7" t="s">
        <v>27</v>
      </c>
      <c r="C13" s="7" t="s">
        <v>31</v>
      </c>
      <c r="D13" s="9">
        <v>8</v>
      </c>
      <c r="E13" s="8"/>
      <c r="F13" s="9">
        <v>5</v>
      </c>
      <c r="G13" s="9">
        <v>4</v>
      </c>
      <c r="H13" s="10">
        <f t="shared" si="1"/>
        <v>17</v>
      </c>
      <c r="I13" s="11">
        <v>1.45</v>
      </c>
      <c r="J13" s="12">
        <f t="shared" si="0"/>
        <v>24.65</v>
      </c>
    </row>
    <row r="14" spans="1:10" ht="32.25" customHeight="1">
      <c r="A14" s="7" t="s">
        <v>33</v>
      </c>
      <c r="B14" s="7" t="s">
        <v>27</v>
      </c>
      <c r="C14" s="7" t="s">
        <v>31</v>
      </c>
      <c r="D14" s="9"/>
      <c r="E14" s="8"/>
      <c r="F14" s="8"/>
      <c r="G14" s="9">
        <v>21</v>
      </c>
      <c r="H14" s="10">
        <f t="shared" si="1"/>
        <v>21</v>
      </c>
      <c r="I14" s="11">
        <v>1.01</v>
      </c>
      <c r="J14" s="12">
        <f t="shared" si="0"/>
        <v>21.21</v>
      </c>
    </row>
    <row r="15" spans="1:10" ht="32.25" customHeight="1">
      <c r="A15" s="7" t="s">
        <v>34</v>
      </c>
      <c r="B15" s="7" t="s">
        <v>27</v>
      </c>
      <c r="C15" s="7" t="s">
        <v>35</v>
      </c>
      <c r="D15" s="8"/>
      <c r="E15" s="8"/>
      <c r="F15" s="8"/>
      <c r="G15" s="8"/>
      <c r="H15" s="10">
        <f t="shared" si="1"/>
        <v>0</v>
      </c>
      <c r="I15" s="11">
        <v>1.08</v>
      </c>
      <c r="J15" s="12">
        <f t="shared" si="0"/>
        <v>0</v>
      </c>
    </row>
    <row r="16" spans="1:10" ht="32.25" customHeight="1">
      <c r="A16" s="7" t="s">
        <v>36</v>
      </c>
      <c r="B16" s="7" t="s">
        <v>27</v>
      </c>
      <c r="C16" s="7" t="s">
        <v>31</v>
      </c>
      <c r="D16" s="8"/>
      <c r="E16" s="8"/>
      <c r="F16" s="8"/>
      <c r="G16" s="8">
        <v>6</v>
      </c>
      <c r="H16" s="10">
        <f t="shared" si="1"/>
        <v>6</v>
      </c>
      <c r="I16" s="11">
        <v>0.93</v>
      </c>
      <c r="J16" s="12">
        <f t="shared" si="0"/>
        <v>5.58</v>
      </c>
    </row>
    <row r="17" spans="1:10" ht="32.25" customHeight="1">
      <c r="A17" s="7" t="s">
        <v>37</v>
      </c>
      <c r="B17" s="7" t="s">
        <v>27</v>
      </c>
      <c r="C17" s="7" t="s">
        <v>35</v>
      </c>
      <c r="D17" s="8">
        <v>11</v>
      </c>
      <c r="E17" s="8"/>
      <c r="F17" s="8"/>
      <c r="G17" s="8"/>
      <c r="H17" s="10">
        <f t="shared" si="1"/>
        <v>11</v>
      </c>
      <c r="I17" s="11">
        <v>1.08</v>
      </c>
      <c r="J17" s="12">
        <f t="shared" si="0"/>
        <v>11.88</v>
      </c>
    </row>
    <row r="18" spans="1:10" ht="32.25" customHeight="1">
      <c r="A18" s="7" t="s">
        <v>38</v>
      </c>
      <c r="B18" s="7" t="s">
        <v>27</v>
      </c>
      <c r="C18" s="7" t="s">
        <v>31</v>
      </c>
      <c r="D18" s="8"/>
      <c r="E18" s="8"/>
      <c r="F18" s="8"/>
      <c r="G18" s="8"/>
      <c r="H18" s="10">
        <f t="shared" si="1"/>
        <v>0</v>
      </c>
      <c r="I18" s="11">
        <v>1.85</v>
      </c>
      <c r="J18" s="12">
        <f t="shared" si="0"/>
        <v>0</v>
      </c>
    </row>
    <row r="19" spans="1:10" ht="32.25" customHeight="1">
      <c r="A19" s="7" t="s">
        <v>39</v>
      </c>
      <c r="B19" s="7" t="s">
        <v>30</v>
      </c>
      <c r="C19" s="7" t="s">
        <v>31</v>
      </c>
      <c r="D19" s="9"/>
      <c r="E19" s="8"/>
      <c r="F19" s="8"/>
      <c r="G19" s="9"/>
      <c r="H19" s="10">
        <f t="shared" si="1"/>
        <v>0</v>
      </c>
      <c r="I19" s="11">
        <v>1.87</v>
      </c>
      <c r="J19" s="12">
        <f t="shared" si="0"/>
        <v>0</v>
      </c>
    </row>
    <row r="20" spans="1:10" ht="32.25" customHeight="1">
      <c r="A20" s="7" t="s">
        <v>40</v>
      </c>
      <c r="B20" s="7" t="s">
        <v>27</v>
      </c>
      <c r="C20" s="7" t="s">
        <v>41</v>
      </c>
      <c r="D20" s="9"/>
      <c r="E20" s="9"/>
      <c r="F20" s="9"/>
      <c r="G20" s="9">
        <v>6</v>
      </c>
      <c r="H20" s="10">
        <f t="shared" si="1"/>
        <v>6</v>
      </c>
      <c r="I20" s="11">
        <v>1.05</v>
      </c>
      <c r="J20" s="12">
        <f t="shared" si="0"/>
        <v>6.3000000000000007</v>
      </c>
    </row>
    <row r="21" spans="1:10" ht="32.25" customHeight="1">
      <c r="A21" s="7" t="s">
        <v>42</v>
      </c>
      <c r="B21" s="7" t="s">
        <v>27</v>
      </c>
      <c r="C21" s="7" t="s">
        <v>31</v>
      </c>
      <c r="D21" s="8"/>
      <c r="E21" s="8"/>
      <c r="F21" s="8">
        <v>3</v>
      </c>
      <c r="G21" s="8">
        <v>1</v>
      </c>
      <c r="H21" s="10">
        <f t="shared" si="1"/>
        <v>4</v>
      </c>
      <c r="I21" s="11">
        <v>1.06</v>
      </c>
      <c r="J21" s="12">
        <f t="shared" si="0"/>
        <v>4.24</v>
      </c>
    </row>
    <row r="22" spans="1:10" ht="32.25" customHeight="1">
      <c r="A22" s="7" t="s">
        <v>43</v>
      </c>
      <c r="B22" s="7" t="s">
        <v>27</v>
      </c>
      <c r="C22" s="7" t="s">
        <v>41</v>
      </c>
      <c r="D22" s="9"/>
      <c r="E22" s="9"/>
      <c r="F22" s="9"/>
      <c r="G22" s="9"/>
      <c r="H22" s="10">
        <f t="shared" si="1"/>
        <v>0</v>
      </c>
      <c r="I22" s="11">
        <v>1.0900000000000001</v>
      </c>
      <c r="J22" s="12">
        <f t="shared" si="0"/>
        <v>0</v>
      </c>
    </row>
    <row r="23" spans="1:10" ht="32.25" customHeight="1">
      <c r="A23" s="7" t="s">
        <v>44</v>
      </c>
      <c r="B23" s="7" t="s">
        <v>27</v>
      </c>
      <c r="C23" s="7" t="s">
        <v>31</v>
      </c>
      <c r="D23" s="9">
        <v>38</v>
      </c>
      <c r="E23" s="8"/>
      <c r="F23" s="9"/>
      <c r="G23" s="9">
        <v>16</v>
      </c>
      <c r="H23" s="10">
        <f t="shared" si="1"/>
        <v>54</v>
      </c>
      <c r="I23" s="11">
        <v>1.44</v>
      </c>
      <c r="J23" s="12">
        <f t="shared" si="0"/>
        <v>77.759999999999991</v>
      </c>
    </row>
    <row r="24" spans="1:10" ht="32.25" customHeight="1">
      <c r="A24" s="7" t="s">
        <v>45</v>
      </c>
      <c r="B24" s="7" t="s">
        <v>27</v>
      </c>
      <c r="C24" s="7" t="s">
        <v>31</v>
      </c>
      <c r="D24" s="8"/>
      <c r="E24" s="8"/>
      <c r="F24" s="8"/>
      <c r="G24" s="8"/>
      <c r="H24" s="10">
        <f t="shared" si="1"/>
        <v>0</v>
      </c>
      <c r="I24" s="11">
        <v>1.44</v>
      </c>
      <c r="J24" s="12">
        <f t="shared" si="0"/>
        <v>0</v>
      </c>
    </row>
    <row r="25" spans="1:10" ht="32.25" customHeight="1">
      <c r="A25" s="7" t="s">
        <v>46</v>
      </c>
      <c r="B25" s="7" t="s">
        <v>47</v>
      </c>
      <c r="C25" s="7" t="s">
        <v>31</v>
      </c>
      <c r="D25" s="9">
        <v>24</v>
      </c>
      <c r="E25" s="8"/>
      <c r="F25" s="9">
        <v>2</v>
      </c>
      <c r="G25" s="9">
        <v>10</v>
      </c>
      <c r="H25" s="10">
        <f t="shared" si="1"/>
        <v>36</v>
      </c>
      <c r="I25" s="11">
        <v>2.4700000000000002</v>
      </c>
      <c r="J25" s="12">
        <f t="shared" si="0"/>
        <v>88.92</v>
      </c>
    </row>
    <row r="26" spans="1:10" ht="32.25" customHeight="1">
      <c r="A26" s="7" t="s">
        <v>48</v>
      </c>
      <c r="B26" s="7" t="s">
        <v>47</v>
      </c>
      <c r="C26" s="7" t="s">
        <v>31</v>
      </c>
      <c r="D26" s="9">
        <v>24</v>
      </c>
      <c r="E26" s="8"/>
      <c r="F26" s="9">
        <v>1</v>
      </c>
      <c r="G26" s="9">
        <v>2</v>
      </c>
      <c r="H26" s="10">
        <f t="shared" si="1"/>
        <v>27</v>
      </c>
      <c r="I26" s="11">
        <v>2.4700000000000002</v>
      </c>
      <c r="J26" s="12">
        <f t="shared" si="0"/>
        <v>66.690000000000012</v>
      </c>
    </row>
    <row r="27" spans="1:10" ht="32.25" customHeight="1">
      <c r="A27" s="7" t="s">
        <v>49</v>
      </c>
      <c r="B27" s="7" t="s">
        <v>47</v>
      </c>
      <c r="C27" s="7" t="s">
        <v>31</v>
      </c>
      <c r="D27" s="9"/>
      <c r="E27" s="8"/>
      <c r="F27" s="9">
        <v>2</v>
      </c>
      <c r="G27" s="9">
        <v>5</v>
      </c>
      <c r="H27" s="10">
        <f t="shared" si="1"/>
        <v>7</v>
      </c>
      <c r="I27" s="11">
        <v>2.4700000000000002</v>
      </c>
      <c r="J27" s="12">
        <f t="shared" si="0"/>
        <v>17.290000000000003</v>
      </c>
    </row>
    <row r="28" spans="1:10" ht="32.25" customHeight="1">
      <c r="A28" s="7" t="s">
        <v>50</v>
      </c>
      <c r="B28" s="7" t="s">
        <v>47</v>
      </c>
      <c r="C28" s="7" t="s">
        <v>31</v>
      </c>
      <c r="D28" s="9">
        <v>5</v>
      </c>
      <c r="E28" s="8"/>
      <c r="F28" s="9">
        <v>3</v>
      </c>
      <c r="G28" s="9">
        <v>5</v>
      </c>
      <c r="H28" s="10">
        <f t="shared" si="1"/>
        <v>13</v>
      </c>
      <c r="I28" s="11">
        <v>2.4700000000000002</v>
      </c>
      <c r="J28" s="12">
        <f t="shared" si="0"/>
        <v>32.11</v>
      </c>
    </row>
    <row r="29" spans="1:10" ht="32.25" customHeight="1">
      <c r="A29" s="7" t="s">
        <v>51</v>
      </c>
      <c r="B29" s="7" t="s">
        <v>47</v>
      </c>
      <c r="C29" s="7" t="s">
        <v>31</v>
      </c>
      <c r="D29" s="9"/>
      <c r="E29" s="8"/>
      <c r="F29" s="9">
        <v>1</v>
      </c>
      <c r="G29" s="9">
        <v>8</v>
      </c>
      <c r="H29" s="10">
        <f t="shared" si="1"/>
        <v>9</v>
      </c>
      <c r="I29" s="11">
        <v>2.4700000000000002</v>
      </c>
      <c r="J29" s="12">
        <f t="shared" si="0"/>
        <v>22.23</v>
      </c>
    </row>
    <row r="30" spans="1:10" ht="32.25" customHeight="1">
      <c r="A30" s="7" t="s">
        <v>52</v>
      </c>
      <c r="B30" s="7" t="s">
        <v>47</v>
      </c>
      <c r="C30" s="7" t="s">
        <v>31</v>
      </c>
      <c r="D30" s="9">
        <v>4</v>
      </c>
      <c r="E30" s="8"/>
      <c r="F30" s="9">
        <v>3</v>
      </c>
      <c r="G30" s="9">
        <v>5</v>
      </c>
      <c r="H30" s="10">
        <f t="shared" si="1"/>
        <v>12</v>
      </c>
      <c r="I30" s="11">
        <v>2.4700000000000002</v>
      </c>
      <c r="J30" s="12">
        <f t="shared" si="0"/>
        <v>29.64</v>
      </c>
    </row>
    <row r="31" spans="1:10" ht="32.25" customHeight="1">
      <c r="A31" s="7" t="s">
        <v>53</v>
      </c>
      <c r="B31" s="7" t="s">
        <v>47</v>
      </c>
      <c r="C31" s="7" t="s">
        <v>31</v>
      </c>
      <c r="D31" s="9">
        <v>8</v>
      </c>
      <c r="E31" s="8"/>
      <c r="F31" s="9">
        <v>3</v>
      </c>
      <c r="G31" s="9">
        <v>7</v>
      </c>
      <c r="H31" s="10">
        <f t="shared" si="1"/>
        <v>18</v>
      </c>
      <c r="I31" s="11">
        <v>2.4700000000000002</v>
      </c>
      <c r="J31" s="12">
        <f t="shared" si="0"/>
        <v>44.46</v>
      </c>
    </row>
    <row r="32" spans="1:10" ht="32.25" customHeight="1">
      <c r="A32" s="7" t="s">
        <v>54</v>
      </c>
      <c r="B32" s="7" t="s">
        <v>47</v>
      </c>
      <c r="C32" s="7" t="s">
        <v>31</v>
      </c>
      <c r="D32" s="9">
        <v>8</v>
      </c>
      <c r="E32" s="8"/>
      <c r="F32" s="9"/>
      <c r="G32" s="9">
        <v>2</v>
      </c>
      <c r="H32" s="10">
        <f t="shared" si="1"/>
        <v>10</v>
      </c>
      <c r="I32" s="11">
        <v>2.4700000000000002</v>
      </c>
      <c r="J32" s="12">
        <f t="shared" si="0"/>
        <v>24.700000000000003</v>
      </c>
    </row>
    <row r="33" spans="1:10" ht="32.25" customHeight="1">
      <c r="A33" s="7" t="s">
        <v>55</v>
      </c>
      <c r="B33" s="7" t="s">
        <v>47</v>
      </c>
      <c r="C33" s="7" t="s">
        <v>31</v>
      </c>
      <c r="D33" s="9">
        <v>12</v>
      </c>
      <c r="E33" s="8"/>
      <c r="F33" s="9">
        <v>2</v>
      </c>
      <c r="G33" s="9">
        <v>11</v>
      </c>
      <c r="H33" s="10">
        <f t="shared" si="1"/>
        <v>25</v>
      </c>
      <c r="I33" s="11">
        <v>2.4700000000000002</v>
      </c>
      <c r="J33" s="12">
        <f t="shared" si="0"/>
        <v>61.750000000000007</v>
      </c>
    </row>
    <row r="34" spans="1:10" ht="32.25" customHeight="1">
      <c r="A34" s="7" t="s">
        <v>56</v>
      </c>
      <c r="B34" s="7" t="s">
        <v>47</v>
      </c>
      <c r="C34" s="7" t="s">
        <v>31</v>
      </c>
      <c r="D34" s="9">
        <v>8</v>
      </c>
      <c r="E34" s="8"/>
      <c r="F34" s="9"/>
      <c r="G34" s="9"/>
      <c r="H34" s="10">
        <f t="shared" si="1"/>
        <v>8</v>
      </c>
      <c r="I34" s="11">
        <v>2.4700000000000002</v>
      </c>
      <c r="J34" s="12">
        <f t="shared" si="0"/>
        <v>19.760000000000002</v>
      </c>
    </row>
    <row r="35" spans="1:10" ht="32.25" customHeight="1">
      <c r="A35" s="7" t="s">
        <v>57</v>
      </c>
      <c r="B35" s="7" t="s">
        <v>47</v>
      </c>
      <c r="C35" s="7" t="s">
        <v>31</v>
      </c>
      <c r="D35" s="9"/>
      <c r="E35" s="8"/>
      <c r="F35" s="9"/>
      <c r="G35" s="9">
        <v>1</v>
      </c>
      <c r="H35" s="10">
        <f t="shared" si="1"/>
        <v>1</v>
      </c>
      <c r="I35" s="11">
        <v>2.4700000000000002</v>
      </c>
      <c r="J35" s="12">
        <f t="shared" si="0"/>
        <v>2.4700000000000002</v>
      </c>
    </row>
    <row r="36" spans="1:10" ht="32.25" customHeight="1">
      <c r="A36" s="7" t="s">
        <v>58</v>
      </c>
      <c r="B36" s="7" t="s">
        <v>47</v>
      </c>
      <c r="C36" s="7" t="s">
        <v>31</v>
      </c>
      <c r="D36" s="9"/>
      <c r="E36" s="8"/>
      <c r="F36" s="9"/>
      <c r="G36" s="9">
        <v>6</v>
      </c>
      <c r="H36" s="10">
        <f t="shared" si="1"/>
        <v>6</v>
      </c>
      <c r="I36" s="11">
        <v>2.4700000000000002</v>
      </c>
      <c r="J36" s="12">
        <f t="shared" si="0"/>
        <v>14.82</v>
      </c>
    </row>
    <row r="37" spans="1:10" ht="32.25" customHeight="1">
      <c r="A37" s="7" t="s">
        <v>59</v>
      </c>
      <c r="B37" s="7" t="s">
        <v>47</v>
      </c>
      <c r="C37" s="7" t="s">
        <v>31</v>
      </c>
      <c r="D37" s="9"/>
      <c r="E37" s="8"/>
      <c r="F37" s="9"/>
      <c r="G37" s="9"/>
      <c r="H37" s="10">
        <f t="shared" si="1"/>
        <v>0</v>
      </c>
      <c r="I37" s="11">
        <v>2.4700000000000002</v>
      </c>
      <c r="J37" s="12">
        <f t="shared" si="0"/>
        <v>0</v>
      </c>
    </row>
    <row r="38" spans="1:10" ht="32.25" customHeight="1">
      <c r="A38" s="7" t="s">
        <v>60</v>
      </c>
      <c r="B38" s="7" t="s">
        <v>27</v>
      </c>
      <c r="C38" s="7" t="s">
        <v>31</v>
      </c>
      <c r="D38" s="8"/>
      <c r="E38" s="8"/>
      <c r="F38" s="9"/>
      <c r="G38" s="9">
        <v>2</v>
      </c>
      <c r="H38" s="10">
        <f t="shared" si="1"/>
        <v>2</v>
      </c>
      <c r="I38" s="11">
        <v>1.45</v>
      </c>
      <c r="J38" s="12">
        <f t="shared" si="0"/>
        <v>2.9</v>
      </c>
    </row>
    <row r="39" spans="1:10" ht="32.25" customHeight="1">
      <c r="A39" s="7" t="s">
        <v>61</v>
      </c>
      <c r="B39" s="7" t="s">
        <v>27</v>
      </c>
      <c r="C39" s="7" t="s">
        <v>31</v>
      </c>
      <c r="D39" s="9"/>
      <c r="E39" s="8"/>
      <c r="F39" s="8"/>
      <c r="G39" s="9">
        <v>10</v>
      </c>
      <c r="H39" s="10">
        <f t="shared" si="1"/>
        <v>10</v>
      </c>
      <c r="I39" s="11">
        <v>1.51</v>
      </c>
      <c r="J39" s="12">
        <f t="shared" si="0"/>
        <v>15.1</v>
      </c>
    </row>
    <row r="40" spans="1:10" ht="32.25" customHeight="1">
      <c r="A40" s="7" t="s">
        <v>62</v>
      </c>
      <c r="B40" s="7" t="s">
        <v>27</v>
      </c>
      <c r="C40" s="7" t="s">
        <v>31</v>
      </c>
      <c r="D40" s="9">
        <v>15</v>
      </c>
      <c r="E40" s="8"/>
      <c r="F40" s="8"/>
      <c r="G40" s="9"/>
      <c r="H40" s="10">
        <f t="shared" si="1"/>
        <v>15</v>
      </c>
      <c r="I40" s="11">
        <v>1.56</v>
      </c>
      <c r="J40" s="12">
        <f t="shared" si="0"/>
        <v>23.400000000000002</v>
      </c>
    </row>
    <row r="41" spans="1:10" ht="32.25" customHeight="1">
      <c r="A41" s="7" t="s">
        <v>63</v>
      </c>
      <c r="B41" s="7" t="s">
        <v>27</v>
      </c>
      <c r="C41" s="7" t="s">
        <v>31</v>
      </c>
      <c r="D41" s="8"/>
      <c r="E41" s="8"/>
      <c r="F41" s="8"/>
      <c r="G41" s="9"/>
      <c r="H41" s="10">
        <f t="shared" si="1"/>
        <v>0</v>
      </c>
      <c r="I41" s="11">
        <v>1.1499999999999999</v>
      </c>
      <c r="J41" s="12">
        <f t="shared" si="0"/>
        <v>0</v>
      </c>
    </row>
    <row r="42" spans="1:10" ht="32.25" customHeight="1">
      <c r="A42" s="7" t="s">
        <v>64</v>
      </c>
      <c r="B42" s="7" t="s">
        <v>27</v>
      </c>
      <c r="C42" s="7" t="s">
        <v>31</v>
      </c>
      <c r="D42" s="8"/>
      <c r="E42" s="9"/>
      <c r="F42" s="9"/>
      <c r="G42" s="8"/>
      <c r="H42" s="10">
        <f t="shared" si="1"/>
        <v>0</v>
      </c>
      <c r="I42" s="11">
        <v>1.49</v>
      </c>
      <c r="J42" s="12">
        <f t="shared" si="0"/>
        <v>0</v>
      </c>
    </row>
    <row r="43" spans="1:10" ht="32.25" customHeight="1">
      <c r="A43" s="7" t="s">
        <v>65</v>
      </c>
      <c r="B43" s="7" t="s">
        <v>27</v>
      </c>
      <c r="C43" s="7" t="s">
        <v>31</v>
      </c>
      <c r="D43" s="9"/>
      <c r="E43" s="8"/>
      <c r="F43" s="8"/>
      <c r="G43" s="9">
        <v>9</v>
      </c>
      <c r="H43" s="10">
        <f t="shared" si="1"/>
        <v>9</v>
      </c>
      <c r="I43" s="11">
        <v>1.07</v>
      </c>
      <c r="J43" s="12">
        <f t="shared" si="0"/>
        <v>9.6300000000000008</v>
      </c>
    </row>
    <row r="44" spans="1:10" ht="32.25" customHeight="1">
      <c r="A44" s="7" t="s">
        <v>66</v>
      </c>
      <c r="B44" s="7" t="s">
        <v>27</v>
      </c>
      <c r="C44" s="7" t="s">
        <v>35</v>
      </c>
      <c r="D44" s="8"/>
      <c r="E44" s="8"/>
      <c r="F44" s="8"/>
      <c r="G44" s="8"/>
      <c r="H44" s="10">
        <f t="shared" si="1"/>
        <v>0</v>
      </c>
      <c r="I44" s="11">
        <v>1.29</v>
      </c>
      <c r="J44" s="12">
        <f t="shared" si="0"/>
        <v>0</v>
      </c>
    </row>
    <row r="45" spans="1:10" ht="32.25" customHeight="1">
      <c r="A45" s="7" t="s">
        <v>67</v>
      </c>
      <c r="B45" s="7" t="s">
        <v>27</v>
      </c>
      <c r="C45" s="7" t="s">
        <v>31</v>
      </c>
      <c r="D45" s="9"/>
      <c r="E45" s="8"/>
      <c r="F45" s="9"/>
      <c r="G45" s="9"/>
      <c r="H45" s="10">
        <f t="shared" si="1"/>
        <v>0</v>
      </c>
      <c r="I45" s="11">
        <v>1.59</v>
      </c>
      <c r="J45" s="12">
        <f t="shared" si="0"/>
        <v>0</v>
      </c>
    </row>
    <row r="46" spans="1:10" ht="32.25" customHeight="1">
      <c r="A46" s="7" t="s">
        <v>68</v>
      </c>
      <c r="B46" s="7" t="s">
        <v>27</v>
      </c>
      <c r="C46" s="7" t="s">
        <v>31</v>
      </c>
      <c r="D46" s="9"/>
      <c r="E46" s="8"/>
      <c r="F46" s="9"/>
      <c r="G46" s="9">
        <v>3</v>
      </c>
      <c r="H46" s="10">
        <f t="shared" si="1"/>
        <v>3</v>
      </c>
      <c r="I46" s="11">
        <v>1.0900000000000001</v>
      </c>
      <c r="J46" s="12">
        <f t="shared" si="0"/>
        <v>3.2700000000000005</v>
      </c>
    </row>
    <row r="47" spans="1:10" ht="32.25" customHeight="1">
      <c r="A47" s="7" t="s">
        <v>69</v>
      </c>
      <c r="B47" s="7" t="s">
        <v>27</v>
      </c>
      <c r="C47" s="7" t="s">
        <v>31</v>
      </c>
      <c r="D47" s="9"/>
      <c r="E47" s="8"/>
      <c r="F47" s="8">
        <v>3</v>
      </c>
      <c r="G47" s="8"/>
      <c r="H47" s="10">
        <f t="shared" si="1"/>
        <v>3</v>
      </c>
      <c r="I47" s="11">
        <v>0.98</v>
      </c>
      <c r="J47" s="12">
        <f t="shared" si="0"/>
        <v>2.94</v>
      </c>
    </row>
    <row r="48" spans="1:10" ht="32.25" customHeight="1">
      <c r="A48" s="7" t="s">
        <v>70</v>
      </c>
      <c r="B48" s="7" t="s">
        <v>27</v>
      </c>
      <c r="C48" s="7" t="s">
        <v>31</v>
      </c>
      <c r="D48" s="9"/>
      <c r="E48" s="9"/>
      <c r="F48" s="9"/>
      <c r="G48" s="9"/>
      <c r="H48" s="10">
        <f t="shared" si="1"/>
        <v>0</v>
      </c>
      <c r="I48" s="11">
        <v>1.44</v>
      </c>
      <c r="J48" s="12">
        <f t="shared" si="0"/>
        <v>0</v>
      </c>
    </row>
    <row r="49" spans="1:10" ht="32.25" customHeight="1">
      <c r="A49" s="7" t="s">
        <v>71</v>
      </c>
      <c r="B49" s="7" t="s">
        <v>27</v>
      </c>
      <c r="C49" s="7" t="s">
        <v>31</v>
      </c>
      <c r="D49" s="9">
        <v>6</v>
      </c>
      <c r="E49" s="8"/>
      <c r="F49" s="8"/>
      <c r="G49" s="9">
        <v>11</v>
      </c>
      <c r="H49" s="10">
        <f t="shared" si="1"/>
        <v>17</v>
      </c>
      <c r="I49" s="11">
        <v>0.94</v>
      </c>
      <c r="J49" s="12">
        <f t="shared" si="0"/>
        <v>15.979999999999999</v>
      </c>
    </row>
    <row r="50" spans="1:10" ht="32.25" customHeight="1">
      <c r="A50" s="7" t="s">
        <v>72</v>
      </c>
      <c r="B50" s="7" t="s">
        <v>27</v>
      </c>
      <c r="C50" s="7" t="s">
        <v>31</v>
      </c>
      <c r="D50" s="9"/>
      <c r="E50" s="8"/>
      <c r="F50" s="8"/>
      <c r="G50" s="9">
        <v>2</v>
      </c>
      <c r="H50" s="10">
        <f t="shared" si="1"/>
        <v>2</v>
      </c>
      <c r="I50" s="11">
        <v>1.44</v>
      </c>
      <c r="J50" s="12">
        <f t="shared" si="0"/>
        <v>2.88</v>
      </c>
    </row>
    <row r="51" spans="1:10" ht="32.25" customHeight="1">
      <c r="A51" s="7" t="s">
        <v>73</v>
      </c>
      <c r="B51" s="7" t="s">
        <v>27</v>
      </c>
      <c r="C51" s="7" t="s">
        <v>31</v>
      </c>
      <c r="D51" s="9"/>
      <c r="E51" s="8"/>
      <c r="F51" s="8"/>
      <c r="G51" s="9"/>
      <c r="H51" s="10">
        <f t="shared" si="1"/>
        <v>0</v>
      </c>
      <c r="I51" s="11">
        <v>1.95</v>
      </c>
      <c r="J51" s="12">
        <f t="shared" si="0"/>
        <v>0</v>
      </c>
    </row>
    <row r="52" spans="1:10" ht="32.25" customHeight="1">
      <c r="A52" s="7" t="s">
        <v>74</v>
      </c>
      <c r="B52" s="7" t="s">
        <v>27</v>
      </c>
      <c r="C52" s="7" t="s">
        <v>31</v>
      </c>
      <c r="D52" s="8"/>
      <c r="E52" s="8"/>
      <c r="F52" s="8"/>
      <c r="G52" s="8"/>
      <c r="H52" s="10">
        <f t="shared" si="1"/>
        <v>0</v>
      </c>
      <c r="I52" s="11">
        <v>1.37</v>
      </c>
      <c r="J52" s="12">
        <f t="shared" si="0"/>
        <v>0</v>
      </c>
    </row>
    <row r="53" spans="1:10" ht="32.25" customHeight="1">
      <c r="A53" s="7" t="s">
        <v>75</v>
      </c>
      <c r="B53" s="7" t="s">
        <v>27</v>
      </c>
      <c r="C53" s="7" t="s">
        <v>31</v>
      </c>
      <c r="D53" s="8"/>
      <c r="E53" s="8"/>
      <c r="F53" s="8"/>
      <c r="G53" s="8"/>
      <c r="H53" s="10">
        <f t="shared" si="1"/>
        <v>0</v>
      </c>
      <c r="I53" s="11">
        <v>1.49</v>
      </c>
      <c r="J53" s="12">
        <f t="shared" si="0"/>
        <v>0</v>
      </c>
    </row>
    <row r="54" spans="1:10" ht="32.25" customHeight="1">
      <c r="A54" s="7" t="s">
        <v>76</v>
      </c>
      <c r="B54" s="7" t="s">
        <v>27</v>
      </c>
      <c r="C54" s="7" t="s">
        <v>77</v>
      </c>
      <c r="D54" s="9"/>
      <c r="E54" s="8"/>
      <c r="F54" s="8"/>
      <c r="G54" s="9">
        <v>4</v>
      </c>
      <c r="H54" s="10">
        <f t="shared" si="1"/>
        <v>4</v>
      </c>
      <c r="I54" s="11">
        <v>1.2</v>
      </c>
      <c r="J54" s="12">
        <f t="shared" si="0"/>
        <v>4.8</v>
      </c>
    </row>
    <row r="55" spans="1:10" ht="32.25" customHeight="1">
      <c r="A55" s="7" t="s">
        <v>78</v>
      </c>
      <c r="B55" s="7" t="s">
        <v>27</v>
      </c>
      <c r="C55" s="7" t="s">
        <v>31</v>
      </c>
      <c r="D55" s="8"/>
      <c r="E55" s="8"/>
      <c r="F55" s="8"/>
      <c r="G55" s="8"/>
      <c r="H55" s="10">
        <f t="shared" si="1"/>
        <v>0</v>
      </c>
      <c r="I55" s="11">
        <v>1.2</v>
      </c>
      <c r="J55" s="12">
        <f t="shared" ref="J55:J87" si="2">SUM(H55*I55)</f>
        <v>0</v>
      </c>
    </row>
    <row r="56" spans="1:10" ht="32.25" customHeight="1">
      <c r="A56" s="7" t="s">
        <v>79</v>
      </c>
      <c r="B56" s="7" t="s">
        <v>27</v>
      </c>
      <c r="C56" s="7" t="s">
        <v>31</v>
      </c>
      <c r="D56" s="8">
        <v>12</v>
      </c>
      <c r="E56" s="8"/>
      <c r="F56" s="8">
        <v>3</v>
      </c>
      <c r="G56" s="9">
        <v>5</v>
      </c>
      <c r="H56" s="10">
        <f t="shared" si="1"/>
        <v>20</v>
      </c>
      <c r="I56" s="11">
        <v>1.34</v>
      </c>
      <c r="J56" s="12">
        <f t="shared" si="2"/>
        <v>26.8</v>
      </c>
    </row>
    <row r="57" spans="1:10" ht="32.25" customHeight="1">
      <c r="A57" s="7" t="s">
        <v>80</v>
      </c>
      <c r="B57" s="7" t="s">
        <v>27</v>
      </c>
      <c r="C57" s="7" t="s">
        <v>31</v>
      </c>
      <c r="D57" s="9"/>
      <c r="E57" s="8"/>
      <c r="F57" s="8"/>
      <c r="G57" s="9">
        <v>1</v>
      </c>
      <c r="H57" s="10">
        <f t="shared" si="1"/>
        <v>1</v>
      </c>
      <c r="I57" s="11">
        <v>2.13</v>
      </c>
      <c r="J57" s="12">
        <f t="shared" si="2"/>
        <v>2.13</v>
      </c>
    </row>
    <row r="58" spans="1:10" ht="32.25" customHeight="1">
      <c r="A58" s="7" t="s">
        <v>81</v>
      </c>
      <c r="B58" s="7" t="s">
        <v>30</v>
      </c>
      <c r="C58" s="7" t="s">
        <v>31</v>
      </c>
      <c r="D58" s="8"/>
      <c r="E58" s="8"/>
      <c r="F58" s="8"/>
      <c r="G58" s="8"/>
      <c r="H58" s="10">
        <f t="shared" si="1"/>
        <v>0</v>
      </c>
      <c r="I58" s="11">
        <v>1.95</v>
      </c>
      <c r="J58" s="12">
        <f t="shared" si="2"/>
        <v>0</v>
      </c>
    </row>
    <row r="59" spans="1:10" ht="32.25" customHeight="1">
      <c r="A59" s="7" t="s">
        <v>82</v>
      </c>
      <c r="B59" s="7" t="s">
        <v>30</v>
      </c>
      <c r="C59" s="7" t="s">
        <v>31</v>
      </c>
      <c r="D59" s="9"/>
      <c r="E59" s="8"/>
      <c r="F59" s="8"/>
      <c r="G59" s="9">
        <v>1</v>
      </c>
      <c r="H59" s="10">
        <f t="shared" si="1"/>
        <v>1</v>
      </c>
      <c r="I59" s="11">
        <v>1.9</v>
      </c>
      <c r="J59" s="12">
        <f t="shared" si="2"/>
        <v>1.9</v>
      </c>
    </row>
    <row r="60" spans="1:10" ht="32.25" customHeight="1">
      <c r="A60" s="7" t="s">
        <v>83</v>
      </c>
      <c r="B60" s="7" t="s">
        <v>30</v>
      </c>
      <c r="C60" s="7" t="s">
        <v>31</v>
      </c>
      <c r="D60" s="9">
        <v>1</v>
      </c>
      <c r="E60" s="8"/>
      <c r="F60" s="8"/>
      <c r="G60" s="8"/>
      <c r="H60" s="10">
        <f t="shared" si="1"/>
        <v>1</v>
      </c>
      <c r="I60" s="11">
        <v>1.65</v>
      </c>
      <c r="J60" s="12">
        <f t="shared" si="2"/>
        <v>1.65</v>
      </c>
    </row>
    <row r="61" spans="1:10" ht="32.25" customHeight="1">
      <c r="A61" s="7" t="s">
        <v>84</v>
      </c>
      <c r="B61" s="7" t="s">
        <v>30</v>
      </c>
      <c r="C61" s="7" t="s">
        <v>31</v>
      </c>
      <c r="D61" s="9"/>
      <c r="E61" s="8"/>
      <c r="F61" s="8"/>
      <c r="G61" s="8"/>
      <c r="H61" s="10">
        <f t="shared" si="1"/>
        <v>0</v>
      </c>
      <c r="I61" s="11">
        <v>1.56</v>
      </c>
      <c r="J61" s="12">
        <f t="shared" si="2"/>
        <v>0</v>
      </c>
    </row>
    <row r="62" spans="1:10" ht="32.25" customHeight="1">
      <c r="A62" s="7" t="s">
        <v>85</v>
      </c>
      <c r="B62" s="7" t="s">
        <v>30</v>
      </c>
      <c r="C62" s="7" t="s">
        <v>31</v>
      </c>
      <c r="D62" s="9"/>
      <c r="E62" s="8"/>
      <c r="F62" s="8"/>
      <c r="G62" s="9"/>
      <c r="H62" s="10">
        <f t="shared" si="1"/>
        <v>0</v>
      </c>
      <c r="I62" s="11">
        <v>1.56</v>
      </c>
      <c r="J62" s="12">
        <f t="shared" si="2"/>
        <v>0</v>
      </c>
    </row>
    <row r="63" spans="1:10" ht="32.25" customHeight="1">
      <c r="A63" s="7" t="s">
        <v>86</v>
      </c>
      <c r="B63" s="7" t="s">
        <v>27</v>
      </c>
      <c r="C63" s="7" t="s">
        <v>87</v>
      </c>
      <c r="D63" s="9"/>
      <c r="E63" s="9"/>
      <c r="F63" s="9"/>
      <c r="G63" s="9"/>
      <c r="H63" s="10">
        <f t="shared" si="1"/>
        <v>0</v>
      </c>
      <c r="I63" s="11">
        <v>1.05</v>
      </c>
      <c r="J63" s="12">
        <f t="shared" si="2"/>
        <v>0</v>
      </c>
    </row>
    <row r="64" spans="1:10" ht="32.25" customHeight="1">
      <c r="A64" s="7" t="s">
        <v>88</v>
      </c>
      <c r="B64" s="7" t="s">
        <v>27</v>
      </c>
      <c r="C64" s="7" t="s">
        <v>31</v>
      </c>
      <c r="D64" s="8"/>
      <c r="E64" s="8"/>
      <c r="F64" s="8"/>
      <c r="G64" s="9"/>
      <c r="H64" s="10">
        <f t="shared" si="1"/>
        <v>0</v>
      </c>
      <c r="I64" s="11">
        <v>1.19</v>
      </c>
      <c r="J64" s="12">
        <f t="shared" si="2"/>
        <v>0</v>
      </c>
    </row>
    <row r="65" spans="1:10" ht="32.25" customHeight="1">
      <c r="A65" s="7" t="s">
        <v>89</v>
      </c>
      <c r="B65" s="7" t="s">
        <v>90</v>
      </c>
      <c r="C65" s="7" t="s">
        <v>77</v>
      </c>
      <c r="D65" s="8"/>
      <c r="E65" s="8"/>
      <c r="F65" s="8"/>
      <c r="G65" s="9">
        <v>0.5</v>
      </c>
      <c r="H65" s="10">
        <f t="shared" si="1"/>
        <v>0.5</v>
      </c>
      <c r="I65" s="11">
        <v>0.99</v>
      </c>
      <c r="J65" s="12">
        <f t="shared" si="2"/>
        <v>0.495</v>
      </c>
    </row>
    <row r="66" spans="1:10" ht="32.25" customHeight="1">
      <c r="A66" s="7" t="s">
        <v>91</v>
      </c>
      <c r="B66" s="7" t="s">
        <v>90</v>
      </c>
      <c r="C66" s="7" t="s">
        <v>77</v>
      </c>
      <c r="D66" s="8"/>
      <c r="E66" s="8"/>
      <c r="F66" s="8"/>
      <c r="G66" s="9"/>
      <c r="H66" s="10">
        <f t="shared" si="1"/>
        <v>0</v>
      </c>
      <c r="I66" s="11">
        <v>0.99</v>
      </c>
      <c r="J66" s="12">
        <f t="shared" si="2"/>
        <v>0</v>
      </c>
    </row>
    <row r="67" spans="1:10" ht="32.25" customHeight="1">
      <c r="A67" s="7" t="s">
        <v>92</v>
      </c>
      <c r="B67" s="7" t="s">
        <v>90</v>
      </c>
      <c r="C67" s="7" t="s">
        <v>31</v>
      </c>
      <c r="D67" s="8"/>
      <c r="E67" s="8"/>
      <c r="F67" s="8"/>
      <c r="G67" s="9"/>
      <c r="H67" s="10">
        <f t="shared" si="1"/>
        <v>0</v>
      </c>
      <c r="I67" s="11">
        <v>0.53</v>
      </c>
      <c r="J67" s="12">
        <f t="shared" si="2"/>
        <v>0</v>
      </c>
    </row>
    <row r="68" spans="1:10" ht="32.25" customHeight="1">
      <c r="A68" s="7" t="s">
        <v>93</v>
      </c>
      <c r="B68" s="7" t="s">
        <v>90</v>
      </c>
      <c r="C68" s="7" t="s">
        <v>77</v>
      </c>
      <c r="D68" s="9">
        <v>10</v>
      </c>
      <c r="E68" s="8"/>
      <c r="F68" s="8"/>
      <c r="G68" s="9">
        <v>3</v>
      </c>
      <c r="H68" s="10">
        <f t="shared" si="1"/>
        <v>13</v>
      </c>
      <c r="I68" s="11">
        <v>1.01</v>
      </c>
      <c r="J68" s="12">
        <f t="shared" si="2"/>
        <v>13.13</v>
      </c>
    </row>
    <row r="69" spans="1:10" ht="32.25" customHeight="1">
      <c r="A69" s="7" t="s">
        <v>94</v>
      </c>
      <c r="B69" s="7" t="s">
        <v>90</v>
      </c>
      <c r="C69" s="7" t="s">
        <v>77</v>
      </c>
      <c r="D69" s="9">
        <v>4</v>
      </c>
      <c r="E69" s="8"/>
      <c r="F69" s="8"/>
      <c r="G69" s="9">
        <v>1</v>
      </c>
      <c r="H69" s="10">
        <f t="shared" si="1"/>
        <v>5</v>
      </c>
      <c r="I69" s="11">
        <v>6.35</v>
      </c>
      <c r="J69" s="12">
        <f t="shared" si="2"/>
        <v>31.75</v>
      </c>
    </row>
    <row r="70" spans="1:10" ht="32.25" customHeight="1">
      <c r="A70" s="7" t="s">
        <v>95</v>
      </c>
      <c r="B70" s="7" t="s">
        <v>90</v>
      </c>
      <c r="C70" s="7" t="s">
        <v>77</v>
      </c>
      <c r="D70" s="9"/>
      <c r="E70" s="8"/>
      <c r="F70" s="8"/>
      <c r="G70" s="9">
        <v>2</v>
      </c>
      <c r="H70" s="10">
        <f t="shared" si="1"/>
        <v>2</v>
      </c>
      <c r="I70" s="11">
        <v>0.91</v>
      </c>
      <c r="J70" s="12">
        <f t="shared" si="2"/>
        <v>1.82</v>
      </c>
    </row>
    <row r="71" spans="1:10" ht="32.25" customHeight="1">
      <c r="A71" s="7" t="s">
        <v>96</v>
      </c>
      <c r="B71" s="7" t="s">
        <v>90</v>
      </c>
      <c r="C71" s="7" t="s">
        <v>77</v>
      </c>
      <c r="D71" s="9">
        <v>15</v>
      </c>
      <c r="E71" s="9"/>
      <c r="F71" s="8"/>
      <c r="G71" s="9">
        <v>2</v>
      </c>
      <c r="H71" s="10">
        <f t="shared" si="1"/>
        <v>17</v>
      </c>
      <c r="I71" s="11">
        <v>1.01</v>
      </c>
      <c r="J71" s="12">
        <f t="shared" si="2"/>
        <v>17.170000000000002</v>
      </c>
    </row>
    <row r="72" spans="1:10" ht="32.25" customHeight="1">
      <c r="A72" s="7" t="s">
        <v>97</v>
      </c>
      <c r="B72" s="7" t="s">
        <v>90</v>
      </c>
      <c r="C72" s="7" t="s">
        <v>31</v>
      </c>
      <c r="D72" s="9">
        <v>6</v>
      </c>
      <c r="E72" s="9"/>
      <c r="F72" s="8"/>
      <c r="G72" s="9"/>
      <c r="H72" s="10">
        <f t="shared" si="1"/>
        <v>6</v>
      </c>
      <c r="I72" s="11">
        <v>0.6</v>
      </c>
      <c r="J72" s="12"/>
    </row>
    <row r="73" spans="1:10" ht="32.25" customHeight="1">
      <c r="A73" s="7" t="s">
        <v>98</v>
      </c>
      <c r="B73" s="7" t="s">
        <v>90</v>
      </c>
      <c r="C73" s="7" t="s">
        <v>77</v>
      </c>
      <c r="D73" s="9">
        <v>6</v>
      </c>
      <c r="E73" s="9"/>
      <c r="F73" s="8"/>
      <c r="G73" s="9"/>
      <c r="H73" s="10">
        <f t="shared" si="1"/>
        <v>6</v>
      </c>
      <c r="I73" s="11">
        <v>5.63</v>
      </c>
      <c r="J73" s="12">
        <f t="shared" si="2"/>
        <v>33.78</v>
      </c>
    </row>
    <row r="74" spans="1:10" ht="32.25" customHeight="1">
      <c r="A74" s="7" t="s">
        <v>99</v>
      </c>
      <c r="B74" s="7" t="s">
        <v>90</v>
      </c>
      <c r="C74" s="7" t="s">
        <v>77</v>
      </c>
      <c r="D74" s="9">
        <v>2</v>
      </c>
      <c r="E74" s="8"/>
      <c r="F74" s="8"/>
      <c r="G74" s="9">
        <v>0.75</v>
      </c>
      <c r="H74" s="10">
        <f t="shared" si="1"/>
        <v>2.75</v>
      </c>
      <c r="I74" s="11">
        <v>5.48</v>
      </c>
      <c r="J74" s="12">
        <f t="shared" si="2"/>
        <v>15.07</v>
      </c>
    </row>
    <row r="75" spans="1:10" ht="32.25" customHeight="1">
      <c r="A75" s="7" t="s">
        <v>100</v>
      </c>
      <c r="B75" s="7" t="s">
        <v>90</v>
      </c>
      <c r="C75" s="7" t="s">
        <v>77</v>
      </c>
      <c r="D75" s="8"/>
      <c r="E75" s="8"/>
      <c r="F75" s="8"/>
      <c r="G75" s="9">
        <v>0.75</v>
      </c>
      <c r="H75" s="10">
        <f t="shared" si="1"/>
        <v>0.75</v>
      </c>
      <c r="I75" s="11">
        <v>4.6399999999999997</v>
      </c>
      <c r="J75" s="12">
        <f t="shared" si="2"/>
        <v>3.4799999999999995</v>
      </c>
    </row>
    <row r="76" spans="1:10" ht="32.25" customHeight="1">
      <c r="A76" s="7" t="s">
        <v>101</v>
      </c>
      <c r="B76" s="7" t="s">
        <v>102</v>
      </c>
      <c r="C76" s="7" t="s">
        <v>103</v>
      </c>
      <c r="D76" s="8"/>
      <c r="E76" s="8"/>
      <c r="F76" s="8"/>
      <c r="G76" s="9">
        <v>1</v>
      </c>
      <c r="H76" s="10">
        <f t="shared" ref="H76:H139" si="3">SUM(D76:G76)</f>
        <v>1</v>
      </c>
      <c r="I76" s="11">
        <v>1.36</v>
      </c>
      <c r="J76" s="12">
        <f t="shared" si="2"/>
        <v>1.36</v>
      </c>
    </row>
    <row r="77" spans="1:10" ht="32.25" customHeight="1">
      <c r="A77" s="7" t="s">
        <v>104</v>
      </c>
      <c r="B77" s="7" t="s">
        <v>102</v>
      </c>
      <c r="C77" s="7" t="s">
        <v>103</v>
      </c>
      <c r="D77" s="8">
        <v>4</v>
      </c>
      <c r="E77" s="9"/>
      <c r="F77" s="8"/>
      <c r="G77" s="9">
        <v>1</v>
      </c>
      <c r="H77" s="10">
        <f t="shared" si="3"/>
        <v>5</v>
      </c>
      <c r="I77" s="11">
        <v>1.29</v>
      </c>
      <c r="J77" s="12">
        <f t="shared" si="2"/>
        <v>6.45</v>
      </c>
    </row>
    <row r="78" spans="1:10" ht="32.25" customHeight="1">
      <c r="A78" s="7" t="s">
        <v>105</v>
      </c>
      <c r="B78" s="7" t="s">
        <v>102</v>
      </c>
      <c r="C78" s="7" t="s">
        <v>103</v>
      </c>
      <c r="D78" s="8"/>
      <c r="E78" s="8"/>
      <c r="F78" s="8"/>
      <c r="G78" s="8"/>
      <c r="H78" s="10">
        <f t="shared" si="3"/>
        <v>0</v>
      </c>
      <c r="I78" s="11">
        <v>1.29</v>
      </c>
      <c r="J78" s="12">
        <f t="shared" si="2"/>
        <v>0</v>
      </c>
    </row>
    <row r="79" spans="1:10" ht="32.25" customHeight="1">
      <c r="A79" s="7" t="s">
        <v>106</v>
      </c>
      <c r="B79" s="7" t="s">
        <v>102</v>
      </c>
      <c r="C79" s="7" t="s">
        <v>103</v>
      </c>
      <c r="D79" s="8">
        <v>4</v>
      </c>
      <c r="E79" s="9"/>
      <c r="F79" s="8"/>
      <c r="G79" s="9">
        <v>2</v>
      </c>
      <c r="H79" s="10">
        <f t="shared" si="3"/>
        <v>6</v>
      </c>
      <c r="I79" s="11">
        <v>1.29</v>
      </c>
      <c r="J79" s="12">
        <f t="shared" si="2"/>
        <v>7.74</v>
      </c>
    </row>
    <row r="80" spans="1:10" ht="32.25" customHeight="1">
      <c r="A80" s="7" t="s">
        <v>107</v>
      </c>
      <c r="B80" s="7" t="s">
        <v>102</v>
      </c>
      <c r="C80" s="7" t="s">
        <v>103</v>
      </c>
      <c r="D80" s="8"/>
      <c r="E80" s="9"/>
      <c r="F80" s="8"/>
      <c r="G80" s="9">
        <v>2</v>
      </c>
      <c r="H80" s="10">
        <f t="shared" si="3"/>
        <v>2</v>
      </c>
      <c r="I80" s="11">
        <v>1.29</v>
      </c>
      <c r="J80" s="12">
        <f t="shared" si="2"/>
        <v>2.58</v>
      </c>
    </row>
    <row r="81" spans="1:10" ht="32.25" customHeight="1">
      <c r="A81" s="7" t="s">
        <v>108</v>
      </c>
      <c r="B81" s="7" t="s">
        <v>102</v>
      </c>
      <c r="C81" s="7" t="s">
        <v>103</v>
      </c>
      <c r="D81" s="8"/>
      <c r="E81" s="9"/>
      <c r="F81" s="8"/>
      <c r="G81" s="9">
        <v>1</v>
      </c>
      <c r="H81" s="10">
        <f t="shared" si="3"/>
        <v>1</v>
      </c>
      <c r="I81" s="11">
        <v>1.29</v>
      </c>
      <c r="J81" s="12">
        <f t="shared" si="2"/>
        <v>1.29</v>
      </c>
    </row>
    <row r="82" spans="1:10" ht="32.25" customHeight="1">
      <c r="A82" s="7" t="s">
        <v>109</v>
      </c>
      <c r="B82" s="7" t="s">
        <v>102</v>
      </c>
      <c r="C82" s="7" t="s">
        <v>103</v>
      </c>
      <c r="D82" s="8"/>
      <c r="E82" s="8"/>
      <c r="F82" s="8"/>
      <c r="G82" s="8"/>
      <c r="H82" s="10">
        <f t="shared" si="3"/>
        <v>0</v>
      </c>
      <c r="I82" s="11">
        <v>2.09</v>
      </c>
      <c r="J82" s="12">
        <f t="shared" si="2"/>
        <v>0</v>
      </c>
    </row>
    <row r="83" spans="1:10" ht="32.25" customHeight="1">
      <c r="A83" s="7" t="s">
        <v>110</v>
      </c>
      <c r="B83" s="7" t="s">
        <v>102</v>
      </c>
      <c r="C83" s="7" t="s">
        <v>103</v>
      </c>
      <c r="D83" s="8"/>
      <c r="E83" s="8"/>
      <c r="F83" s="8"/>
      <c r="G83" s="8"/>
      <c r="H83" s="10">
        <f t="shared" si="3"/>
        <v>0</v>
      </c>
      <c r="I83" s="11">
        <v>2.09</v>
      </c>
      <c r="J83" s="12">
        <f t="shared" si="2"/>
        <v>0</v>
      </c>
    </row>
    <row r="84" spans="1:10" ht="32.25" customHeight="1">
      <c r="A84" s="7" t="s">
        <v>111</v>
      </c>
      <c r="B84" s="7" t="s">
        <v>112</v>
      </c>
      <c r="C84" s="7" t="s">
        <v>113</v>
      </c>
      <c r="D84" s="8">
        <v>1</v>
      </c>
      <c r="E84" s="9"/>
      <c r="F84" s="8"/>
      <c r="G84" s="8"/>
      <c r="H84" s="10">
        <f t="shared" si="3"/>
        <v>1</v>
      </c>
      <c r="I84" s="11">
        <v>24.1</v>
      </c>
      <c r="J84" s="12">
        <f t="shared" si="2"/>
        <v>24.1</v>
      </c>
    </row>
    <row r="85" spans="1:10" ht="32.25" customHeight="1">
      <c r="A85" s="7" t="s">
        <v>114</v>
      </c>
      <c r="B85" s="7" t="s">
        <v>112</v>
      </c>
      <c r="C85" s="7" t="s">
        <v>113</v>
      </c>
      <c r="D85" s="8"/>
      <c r="E85" s="8"/>
      <c r="F85" s="8"/>
      <c r="G85" s="9">
        <v>0.75</v>
      </c>
      <c r="H85" s="10">
        <f t="shared" si="3"/>
        <v>0.75</v>
      </c>
      <c r="I85" s="11">
        <v>7.25</v>
      </c>
      <c r="J85" s="12">
        <f t="shared" si="2"/>
        <v>5.4375</v>
      </c>
    </row>
    <row r="86" spans="1:10" ht="32.25" customHeight="1">
      <c r="A86" s="7" t="s">
        <v>115</v>
      </c>
      <c r="B86" s="7" t="s">
        <v>112</v>
      </c>
      <c r="C86" s="7" t="s">
        <v>113</v>
      </c>
      <c r="D86" s="8"/>
      <c r="E86" s="9"/>
      <c r="F86" s="8"/>
      <c r="G86" s="9">
        <v>0.7</v>
      </c>
      <c r="H86" s="10">
        <f t="shared" si="3"/>
        <v>0.7</v>
      </c>
      <c r="I86" s="11">
        <v>17.079999999999998</v>
      </c>
      <c r="J86" s="12">
        <f t="shared" si="2"/>
        <v>11.955999999999998</v>
      </c>
    </row>
    <row r="87" spans="1:10" ht="32.25" customHeight="1">
      <c r="A87" s="7" t="s">
        <v>116</v>
      </c>
      <c r="B87" s="7" t="s">
        <v>112</v>
      </c>
      <c r="C87" s="7" t="s">
        <v>113</v>
      </c>
      <c r="D87" s="8">
        <v>2</v>
      </c>
      <c r="E87" s="9"/>
      <c r="F87" s="8"/>
      <c r="G87" s="9">
        <v>1</v>
      </c>
      <c r="H87" s="10">
        <f t="shared" si="3"/>
        <v>3</v>
      </c>
      <c r="I87" s="11">
        <v>35.06</v>
      </c>
      <c r="J87" s="12">
        <f t="shared" si="2"/>
        <v>105.18</v>
      </c>
    </row>
    <row r="88" spans="1:10" ht="32.25" customHeight="1">
      <c r="A88" s="7" t="s">
        <v>117</v>
      </c>
      <c r="B88" s="7" t="s">
        <v>112</v>
      </c>
      <c r="C88" s="7" t="s">
        <v>113</v>
      </c>
      <c r="D88" s="8">
        <v>2</v>
      </c>
      <c r="E88" s="9"/>
      <c r="F88" s="8"/>
      <c r="G88" s="8"/>
      <c r="H88" s="10">
        <f t="shared" si="3"/>
        <v>2</v>
      </c>
      <c r="I88" s="11">
        <v>8.42</v>
      </c>
      <c r="J88" s="12">
        <f t="shared" ref="J88:J119" si="4">SUM(H88*I88)</f>
        <v>16.84</v>
      </c>
    </row>
    <row r="89" spans="1:10" ht="32.25" customHeight="1">
      <c r="A89" s="7" t="s">
        <v>118</v>
      </c>
      <c r="B89" s="7" t="s">
        <v>112</v>
      </c>
      <c r="C89" s="7" t="s">
        <v>119</v>
      </c>
      <c r="D89" s="8">
        <v>2</v>
      </c>
      <c r="E89" s="9"/>
      <c r="F89" s="8"/>
      <c r="G89" s="9">
        <v>0.2</v>
      </c>
      <c r="H89" s="10">
        <f t="shared" si="3"/>
        <v>2.2000000000000002</v>
      </c>
      <c r="I89" s="11">
        <v>21</v>
      </c>
      <c r="J89" s="12">
        <f t="shared" si="4"/>
        <v>46.2</v>
      </c>
    </row>
    <row r="90" spans="1:10" ht="32.25" customHeight="1">
      <c r="A90" s="7" t="s">
        <v>120</v>
      </c>
      <c r="B90" s="7" t="s">
        <v>112</v>
      </c>
      <c r="C90" s="7" t="s">
        <v>113</v>
      </c>
      <c r="D90" s="8"/>
      <c r="E90" s="9"/>
      <c r="F90" s="8"/>
      <c r="G90" s="8"/>
      <c r="H90" s="10">
        <f t="shared" si="3"/>
        <v>0</v>
      </c>
      <c r="I90" s="11">
        <v>19.100000000000001</v>
      </c>
      <c r="J90" s="12">
        <f t="shared" si="4"/>
        <v>0</v>
      </c>
    </row>
    <row r="91" spans="1:10" ht="32.25" customHeight="1">
      <c r="A91" s="7" t="s">
        <v>121</v>
      </c>
      <c r="B91" s="7" t="s">
        <v>112</v>
      </c>
      <c r="C91" s="7" t="s">
        <v>113</v>
      </c>
      <c r="D91" s="8"/>
      <c r="E91" s="8"/>
      <c r="F91" s="8"/>
      <c r="G91" s="9">
        <v>0.75</v>
      </c>
      <c r="H91" s="10">
        <f t="shared" si="3"/>
        <v>0.75</v>
      </c>
      <c r="I91" s="11">
        <v>1.8</v>
      </c>
      <c r="J91" s="12">
        <f t="shared" si="4"/>
        <v>1.35</v>
      </c>
    </row>
    <row r="92" spans="1:10" ht="32.25" customHeight="1">
      <c r="A92" s="7" t="s">
        <v>122</v>
      </c>
      <c r="B92" s="7" t="s">
        <v>112</v>
      </c>
      <c r="C92" s="7" t="s">
        <v>113</v>
      </c>
      <c r="D92" s="8"/>
      <c r="E92" s="8"/>
      <c r="F92" s="8"/>
      <c r="G92" s="9">
        <v>0.3</v>
      </c>
      <c r="H92" s="10">
        <f t="shared" si="3"/>
        <v>0.3</v>
      </c>
      <c r="I92" s="11">
        <v>34.450000000000003</v>
      </c>
      <c r="J92" s="12">
        <f t="shared" si="4"/>
        <v>10.335000000000001</v>
      </c>
    </row>
    <row r="93" spans="1:10" ht="32.25" customHeight="1">
      <c r="A93" s="7" t="s">
        <v>123</v>
      </c>
      <c r="B93" s="7" t="s">
        <v>112</v>
      </c>
      <c r="C93" s="7" t="s">
        <v>113</v>
      </c>
      <c r="D93" s="8">
        <v>1</v>
      </c>
      <c r="E93" s="9"/>
      <c r="F93" s="8"/>
      <c r="G93" s="9">
        <v>0.2</v>
      </c>
      <c r="H93" s="10">
        <f t="shared" si="3"/>
        <v>1.2</v>
      </c>
      <c r="I93" s="11">
        <v>19</v>
      </c>
      <c r="J93" s="12">
        <f t="shared" si="4"/>
        <v>22.8</v>
      </c>
    </row>
    <row r="94" spans="1:10" ht="32.25" customHeight="1">
      <c r="A94" s="7" t="s">
        <v>124</v>
      </c>
      <c r="B94" s="7" t="s">
        <v>112</v>
      </c>
      <c r="C94" s="7" t="s">
        <v>113</v>
      </c>
      <c r="D94" s="8"/>
      <c r="E94" s="8"/>
      <c r="F94" s="8"/>
      <c r="G94" s="8">
        <v>1.3</v>
      </c>
      <c r="H94" s="10">
        <f t="shared" si="3"/>
        <v>1.3</v>
      </c>
      <c r="I94" s="11">
        <v>6.64</v>
      </c>
      <c r="J94" s="12">
        <f t="shared" si="4"/>
        <v>8.6319999999999997</v>
      </c>
    </row>
    <row r="95" spans="1:10" ht="32.25" customHeight="1">
      <c r="A95" s="7" t="s">
        <v>125</v>
      </c>
      <c r="B95" s="7" t="s">
        <v>112</v>
      </c>
      <c r="C95" s="7" t="s">
        <v>113</v>
      </c>
      <c r="D95" s="8">
        <v>1</v>
      </c>
      <c r="E95" s="9"/>
      <c r="F95" s="8"/>
      <c r="G95" s="8">
        <v>1.1000000000000001</v>
      </c>
      <c r="H95" s="10">
        <f t="shared" si="3"/>
        <v>2.1</v>
      </c>
      <c r="I95" s="11">
        <v>22.47</v>
      </c>
      <c r="J95" s="12">
        <f t="shared" si="4"/>
        <v>47.186999999999998</v>
      </c>
    </row>
    <row r="96" spans="1:10" ht="32.25" customHeight="1">
      <c r="A96" s="7" t="s">
        <v>126</v>
      </c>
      <c r="B96" s="7" t="s">
        <v>112</v>
      </c>
      <c r="C96" s="7" t="s">
        <v>113</v>
      </c>
      <c r="D96" s="8">
        <v>1</v>
      </c>
      <c r="E96" s="9"/>
      <c r="F96" s="8"/>
      <c r="G96" s="9">
        <v>0.1</v>
      </c>
      <c r="H96" s="10">
        <f t="shared" si="3"/>
        <v>1.1000000000000001</v>
      </c>
      <c r="I96" s="11">
        <v>46.72</v>
      </c>
      <c r="J96" s="12">
        <f t="shared" si="4"/>
        <v>51.392000000000003</v>
      </c>
    </row>
    <row r="97" spans="1:10" ht="32.25" customHeight="1">
      <c r="A97" s="7" t="s">
        <v>127</v>
      </c>
      <c r="B97" s="7" t="s">
        <v>112</v>
      </c>
      <c r="C97" s="7" t="s">
        <v>113</v>
      </c>
      <c r="D97" s="8">
        <v>1</v>
      </c>
      <c r="E97" s="9"/>
      <c r="F97" s="8"/>
      <c r="G97" s="9">
        <v>0.2</v>
      </c>
      <c r="H97" s="10">
        <f t="shared" si="3"/>
        <v>1.2</v>
      </c>
      <c r="I97" s="11">
        <v>9.6</v>
      </c>
      <c r="J97" s="12">
        <f t="shared" si="4"/>
        <v>11.52</v>
      </c>
    </row>
    <row r="98" spans="1:10" ht="32.25" customHeight="1">
      <c r="A98" s="7" t="s">
        <v>128</v>
      </c>
      <c r="B98" s="7" t="s">
        <v>112</v>
      </c>
      <c r="C98" s="7" t="s">
        <v>113</v>
      </c>
      <c r="D98" s="8">
        <v>2</v>
      </c>
      <c r="E98" s="9"/>
      <c r="F98" s="8"/>
      <c r="G98" s="9">
        <v>0.7</v>
      </c>
      <c r="H98" s="10">
        <f t="shared" si="3"/>
        <v>2.7</v>
      </c>
      <c r="I98" s="11">
        <v>33.5</v>
      </c>
      <c r="J98" s="12">
        <f t="shared" si="4"/>
        <v>90.45</v>
      </c>
    </row>
    <row r="99" spans="1:10" ht="32.25" customHeight="1">
      <c r="A99" s="7" t="s">
        <v>129</v>
      </c>
      <c r="B99" s="7" t="s">
        <v>112</v>
      </c>
      <c r="C99" s="7" t="s">
        <v>113</v>
      </c>
      <c r="D99" s="8"/>
      <c r="E99" s="8"/>
      <c r="F99" s="8"/>
      <c r="G99" s="8"/>
      <c r="H99" s="10">
        <f t="shared" si="3"/>
        <v>0</v>
      </c>
      <c r="I99" s="11">
        <v>33.5</v>
      </c>
      <c r="J99" s="12">
        <f t="shared" si="4"/>
        <v>0</v>
      </c>
    </row>
    <row r="100" spans="1:10" ht="32.25" customHeight="1">
      <c r="A100" s="7" t="s">
        <v>130</v>
      </c>
      <c r="B100" s="7" t="s">
        <v>112</v>
      </c>
      <c r="C100" s="7" t="s">
        <v>113</v>
      </c>
      <c r="D100" s="8">
        <v>1</v>
      </c>
      <c r="E100" s="9"/>
      <c r="F100" s="8"/>
      <c r="G100" s="8"/>
      <c r="H100" s="10">
        <f t="shared" si="3"/>
        <v>1</v>
      </c>
      <c r="I100" s="11">
        <v>23.24</v>
      </c>
      <c r="J100" s="12">
        <f t="shared" si="4"/>
        <v>23.24</v>
      </c>
    </row>
    <row r="101" spans="1:10" ht="32.25" customHeight="1">
      <c r="A101" s="7" t="s">
        <v>131</v>
      </c>
      <c r="B101" s="7" t="s">
        <v>112</v>
      </c>
      <c r="C101" s="7" t="s">
        <v>113</v>
      </c>
      <c r="D101" s="8"/>
      <c r="E101" s="8"/>
      <c r="F101" s="8"/>
      <c r="G101" s="8"/>
      <c r="H101" s="10">
        <f t="shared" si="3"/>
        <v>0</v>
      </c>
      <c r="I101" s="11">
        <v>30.74</v>
      </c>
      <c r="J101" s="12">
        <f t="shared" si="4"/>
        <v>0</v>
      </c>
    </row>
    <row r="102" spans="1:10" ht="32.25" customHeight="1">
      <c r="A102" s="7" t="s">
        <v>132</v>
      </c>
      <c r="B102" s="7" t="s">
        <v>133</v>
      </c>
      <c r="C102" s="7" t="s">
        <v>113</v>
      </c>
      <c r="D102" s="8">
        <v>2</v>
      </c>
      <c r="E102" s="9"/>
      <c r="F102" s="8"/>
      <c r="G102" s="9">
        <v>0.6</v>
      </c>
      <c r="H102" s="10">
        <f t="shared" si="3"/>
        <v>2.6</v>
      </c>
      <c r="I102" s="11">
        <v>16.239999999999998</v>
      </c>
      <c r="J102" s="12">
        <f t="shared" si="4"/>
        <v>42.223999999999997</v>
      </c>
    </row>
    <row r="103" spans="1:10" ht="32.25" customHeight="1">
      <c r="A103" s="7" t="s">
        <v>134</v>
      </c>
      <c r="B103" s="7" t="s">
        <v>112</v>
      </c>
      <c r="C103" s="7" t="s">
        <v>113</v>
      </c>
      <c r="D103" s="8">
        <v>2</v>
      </c>
      <c r="E103" s="9"/>
      <c r="F103" s="8"/>
      <c r="G103" s="9">
        <v>1</v>
      </c>
      <c r="H103" s="10">
        <f t="shared" si="3"/>
        <v>3</v>
      </c>
      <c r="I103" s="11">
        <v>18.739999999999998</v>
      </c>
      <c r="J103" s="12">
        <f t="shared" si="4"/>
        <v>56.22</v>
      </c>
    </row>
    <row r="104" spans="1:10" ht="32.25" customHeight="1">
      <c r="A104" s="7" t="s">
        <v>135</v>
      </c>
      <c r="B104" s="7" t="s">
        <v>112</v>
      </c>
      <c r="C104" s="7" t="s">
        <v>113</v>
      </c>
      <c r="D104" s="8">
        <v>1</v>
      </c>
      <c r="E104" s="9"/>
      <c r="F104" s="8"/>
      <c r="G104" s="9">
        <v>1</v>
      </c>
      <c r="H104" s="10">
        <f t="shared" si="3"/>
        <v>2</v>
      </c>
      <c r="I104" s="11">
        <v>31.24</v>
      </c>
      <c r="J104" s="12">
        <f t="shared" si="4"/>
        <v>62.48</v>
      </c>
    </row>
    <row r="105" spans="1:10" ht="32.25" customHeight="1">
      <c r="A105" s="7" t="s">
        <v>136</v>
      </c>
      <c r="B105" s="7" t="s">
        <v>112</v>
      </c>
      <c r="C105" s="7" t="s">
        <v>137</v>
      </c>
      <c r="D105" s="8">
        <v>1</v>
      </c>
      <c r="E105" s="9"/>
      <c r="F105" s="8"/>
      <c r="G105" s="9">
        <v>0.9</v>
      </c>
      <c r="H105" s="10">
        <f t="shared" si="3"/>
        <v>1.9</v>
      </c>
      <c r="I105" s="11">
        <v>34.57</v>
      </c>
      <c r="J105" s="12">
        <f t="shared" si="4"/>
        <v>65.682999999999993</v>
      </c>
    </row>
    <row r="106" spans="1:10" ht="32.25" customHeight="1">
      <c r="A106" s="7" t="s">
        <v>138</v>
      </c>
      <c r="B106" s="7" t="s">
        <v>112</v>
      </c>
      <c r="C106" s="7" t="s">
        <v>113</v>
      </c>
      <c r="D106" s="8"/>
      <c r="E106" s="9"/>
      <c r="F106" s="8"/>
      <c r="G106" s="9">
        <v>0.8</v>
      </c>
      <c r="H106" s="10">
        <f t="shared" si="3"/>
        <v>0.8</v>
      </c>
      <c r="I106" s="11">
        <v>25.81</v>
      </c>
      <c r="J106" s="12">
        <f t="shared" si="4"/>
        <v>20.648</v>
      </c>
    </row>
    <row r="107" spans="1:10" ht="32.25" customHeight="1">
      <c r="A107" s="7" t="s">
        <v>139</v>
      </c>
      <c r="B107" s="7" t="s">
        <v>112</v>
      </c>
      <c r="C107" s="7" t="s">
        <v>113</v>
      </c>
      <c r="D107" s="8"/>
      <c r="E107" s="8"/>
      <c r="F107" s="8"/>
      <c r="G107" s="9">
        <v>1.2</v>
      </c>
      <c r="H107" s="10">
        <f t="shared" si="3"/>
        <v>1.2</v>
      </c>
      <c r="I107" s="11">
        <v>8.09</v>
      </c>
      <c r="J107" s="12">
        <f t="shared" si="4"/>
        <v>9.7080000000000002</v>
      </c>
    </row>
    <row r="108" spans="1:10" ht="32.25" customHeight="1">
      <c r="A108" s="7" t="s">
        <v>140</v>
      </c>
      <c r="B108" s="7" t="s">
        <v>112</v>
      </c>
      <c r="C108" s="7" t="s">
        <v>113</v>
      </c>
      <c r="D108" s="9">
        <v>2</v>
      </c>
      <c r="E108" s="9"/>
      <c r="F108" s="8"/>
      <c r="G108" s="9">
        <v>0.2</v>
      </c>
      <c r="H108" s="10">
        <f t="shared" si="3"/>
        <v>2.2000000000000002</v>
      </c>
      <c r="I108" s="11">
        <v>16.420000000000002</v>
      </c>
      <c r="J108" s="12">
        <f t="shared" si="4"/>
        <v>36.124000000000009</v>
      </c>
    </row>
    <row r="109" spans="1:10" ht="32.25" customHeight="1">
      <c r="A109" s="7" t="s">
        <v>141</v>
      </c>
      <c r="B109" s="7" t="s">
        <v>112</v>
      </c>
      <c r="C109" s="7" t="s">
        <v>113</v>
      </c>
      <c r="D109" s="8"/>
      <c r="E109" s="8"/>
      <c r="F109" s="8"/>
      <c r="G109" s="9">
        <v>0.7</v>
      </c>
      <c r="H109" s="10">
        <f t="shared" si="3"/>
        <v>0.7</v>
      </c>
      <c r="I109" s="11">
        <v>7.64</v>
      </c>
      <c r="J109" s="12">
        <f t="shared" si="4"/>
        <v>5.3479999999999999</v>
      </c>
    </row>
    <row r="110" spans="1:10" ht="32.25" customHeight="1">
      <c r="A110" s="7" t="s">
        <v>142</v>
      </c>
      <c r="B110" s="7" t="s">
        <v>112</v>
      </c>
      <c r="C110" s="7" t="s">
        <v>113</v>
      </c>
      <c r="D110" s="8">
        <v>1</v>
      </c>
      <c r="E110" s="9"/>
      <c r="F110" s="8"/>
      <c r="G110" s="9">
        <v>0.7</v>
      </c>
      <c r="H110" s="10">
        <f t="shared" si="3"/>
        <v>1.7</v>
      </c>
      <c r="I110" s="11">
        <v>6.67</v>
      </c>
      <c r="J110" s="12">
        <f t="shared" si="4"/>
        <v>11.339</v>
      </c>
    </row>
    <row r="111" spans="1:10" ht="32.25" customHeight="1">
      <c r="A111" s="7" t="s">
        <v>143</v>
      </c>
      <c r="B111" s="7" t="s">
        <v>112</v>
      </c>
      <c r="C111" s="7" t="s">
        <v>113</v>
      </c>
      <c r="D111" s="8"/>
      <c r="E111" s="8"/>
      <c r="F111" s="8"/>
      <c r="G111" s="9">
        <v>0.3</v>
      </c>
      <c r="H111" s="10">
        <f t="shared" si="3"/>
        <v>0.3</v>
      </c>
      <c r="I111" s="11">
        <v>22.8</v>
      </c>
      <c r="J111" s="12">
        <f t="shared" si="4"/>
        <v>6.84</v>
      </c>
    </row>
    <row r="112" spans="1:10" ht="32.25" customHeight="1">
      <c r="A112" s="7" t="s">
        <v>144</v>
      </c>
      <c r="B112" s="7" t="s">
        <v>112</v>
      </c>
      <c r="C112" s="7" t="s">
        <v>113</v>
      </c>
      <c r="D112" s="8">
        <v>2</v>
      </c>
      <c r="E112" s="9"/>
      <c r="F112" s="8"/>
      <c r="G112" s="9">
        <v>1.2</v>
      </c>
      <c r="H112" s="10">
        <f t="shared" si="3"/>
        <v>3.2</v>
      </c>
      <c r="I112" s="11">
        <v>50.46</v>
      </c>
      <c r="J112" s="12">
        <f t="shared" si="4"/>
        <v>161.47200000000001</v>
      </c>
    </row>
    <row r="113" spans="1:10" ht="32.25" customHeight="1">
      <c r="A113" s="7" t="s">
        <v>145</v>
      </c>
      <c r="B113" s="7" t="s">
        <v>112</v>
      </c>
      <c r="C113" s="7" t="s">
        <v>113</v>
      </c>
      <c r="D113" s="9">
        <v>1</v>
      </c>
      <c r="E113" s="9"/>
      <c r="F113" s="8"/>
      <c r="G113" s="9">
        <v>0.2</v>
      </c>
      <c r="H113" s="10">
        <f t="shared" si="3"/>
        <v>1.2</v>
      </c>
      <c r="I113" s="11">
        <v>18.489999999999998</v>
      </c>
      <c r="J113" s="12">
        <f t="shared" si="4"/>
        <v>22.187999999999999</v>
      </c>
    </row>
    <row r="114" spans="1:10" ht="32.25" customHeight="1">
      <c r="A114" s="7" t="s">
        <v>146</v>
      </c>
      <c r="B114" s="7" t="s">
        <v>112</v>
      </c>
      <c r="C114" s="7" t="s">
        <v>113</v>
      </c>
      <c r="D114" s="8"/>
      <c r="E114" s="8"/>
      <c r="F114" s="8"/>
      <c r="G114" s="8"/>
      <c r="H114" s="10">
        <f t="shared" si="3"/>
        <v>0</v>
      </c>
      <c r="I114" s="11">
        <v>9.69</v>
      </c>
      <c r="J114" s="12">
        <f t="shared" si="4"/>
        <v>0</v>
      </c>
    </row>
    <row r="115" spans="1:10" ht="32.25" customHeight="1">
      <c r="A115" s="7" t="s">
        <v>147</v>
      </c>
      <c r="B115" s="7" t="s">
        <v>112</v>
      </c>
      <c r="C115" s="7" t="s">
        <v>113</v>
      </c>
      <c r="D115" s="8"/>
      <c r="E115" s="8"/>
      <c r="F115" s="8"/>
      <c r="G115" s="9">
        <v>0.75</v>
      </c>
      <c r="H115" s="10">
        <f t="shared" si="3"/>
        <v>0.75</v>
      </c>
      <c r="I115" s="11">
        <v>19.84</v>
      </c>
      <c r="J115" s="12">
        <f t="shared" si="4"/>
        <v>14.879999999999999</v>
      </c>
    </row>
    <row r="116" spans="1:10" ht="32.25" customHeight="1">
      <c r="A116" s="7" t="s">
        <v>148</v>
      </c>
      <c r="B116" s="7" t="s">
        <v>112</v>
      </c>
      <c r="C116" s="7" t="s">
        <v>113</v>
      </c>
      <c r="D116" s="8"/>
      <c r="E116" s="9"/>
      <c r="F116" s="8"/>
      <c r="G116" s="9">
        <v>0.5</v>
      </c>
      <c r="H116" s="10">
        <f t="shared" si="3"/>
        <v>0.5</v>
      </c>
      <c r="I116" s="11">
        <v>4.8899999999999997</v>
      </c>
      <c r="J116" s="12">
        <f t="shared" si="4"/>
        <v>2.4449999999999998</v>
      </c>
    </row>
    <row r="117" spans="1:10" ht="32.25" customHeight="1">
      <c r="A117" s="7" t="s">
        <v>149</v>
      </c>
      <c r="B117" s="7" t="s">
        <v>112</v>
      </c>
      <c r="C117" s="7" t="s">
        <v>113</v>
      </c>
      <c r="D117" s="8"/>
      <c r="E117" s="8"/>
      <c r="F117" s="8"/>
      <c r="G117" s="8"/>
      <c r="H117" s="10">
        <f t="shared" si="3"/>
        <v>0</v>
      </c>
      <c r="I117" s="11">
        <v>5.41</v>
      </c>
      <c r="J117" s="12">
        <f t="shared" si="4"/>
        <v>0</v>
      </c>
    </row>
    <row r="118" spans="1:10" ht="32.25" customHeight="1">
      <c r="A118" s="7" t="s">
        <v>150</v>
      </c>
      <c r="B118" s="7" t="s">
        <v>112</v>
      </c>
      <c r="C118" s="7" t="s">
        <v>119</v>
      </c>
      <c r="D118" s="8"/>
      <c r="E118" s="8"/>
      <c r="F118" s="8"/>
      <c r="G118" s="9"/>
      <c r="H118" s="10">
        <f t="shared" si="3"/>
        <v>0</v>
      </c>
      <c r="I118" s="11">
        <v>5.8</v>
      </c>
      <c r="J118" s="12">
        <f t="shared" si="4"/>
        <v>0</v>
      </c>
    </row>
    <row r="119" spans="1:10" ht="32.25" customHeight="1">
      <c r="A119" s="7" t="s">
        <v>151</v>
      </c>
      <c r="B119" s="7" t="s">
        <v>112</v>
      </c>
      <c r="C119" s="7" t="s">
        <v>113</v>
      </c>
      <c r="D119" s="9"/>
      <c r="E119" s="8"/>
      <c r="F119" s="8"/>
      <c r="G119" s="9">
        <v>0.9</v>
      </c>
      <c r="H119" s="10">
        <f t="shared" si="3"/>
        <v>0.9</v>
      </c>
      <c r="I119" s="11">
        <v>6.64</v>
      </c>
      <c r="J119" s="12">
        <f t="shared" si="4"/>
        <v>5.976</v>
      </c>
    </row>
    <row r="120" spans="1:10" ht="32.25" customHeight="1">
      <c r="A120" s="7" t="s">
        <v>152</v>
      </c>
      <c r="B120" s="7" t="s">
        <v>112</v>
      </c>
      <c r="C120" s="7" t="s">
        <v>113</v>
      </c>
      <c r="D120" s="8">
        <v>1</v>
      </c>
      <c r="E120" s="9"/>
      <c r="F120" s="8"/>
      <c r="G120" s="8"/>
      <c r="H120" s="10">
        <f t="shared" si="3"/>
        <v>1</v>
      </c>
      <c r="I120" s="11">
        <v>32.4</v>
      </c>
      <c r="J120" s="12">
        <f t="shared" ref="J120:J129" si="5">SUM(H120*I120)</f>
        <v>32.4</v>
      </c>
    </row>
    <row r="121" spans="1:10" ht="32.25" customHeight="1">
      <c r="A121" s="7" t="s">
        <v>153</v>
      </c>
      <c r="B121" s="7" t="s">
        <v>112</v>
      </c>
      <c r="C121" s="7" t="s">
        <v>113</v>
      </c>
      <c r="D121" s="8">
        <v>1</v>
      </c>
      <c r="E121" s="9"/>
      <c r="F121" s="8"/>
      <c r="G121" s="9">
        <v>0.2</v>
      </c>
      <c r="H121" s="10">
        <f t="shared" si="3"/>
        <v>1.2</v>
      </c>
      <c r="I121" s="11">
        <v>25.83</v>
      </c>
      <c r="J121" s="12">
        <f t="shared" si="5"/>
        <v>30.995999999999995</v>
      </c>
    </row>
    <row r="122" spans="1:10" ht="32.25" customHeight="1">
      <c r="A122" s="7" t="s">
        <v>154</v>
      </c>
      <c r="B122" s="7" t="s">
        <v>112</v>
      </c>
      <c r="C122" s="7" t="s">
        <v>113</v>
      </c>
      <c r="D122" s="8"/>
      <c r="E122" s="9"/>
      <c r="F122" s="8"/>
      <c r="G122" s="8">
        <v>1</v>
      </c>
      <c r="H122" s="10">
        <f t="shared" si="3"/>
        <v>1</v>
      </c>
      <c r="I122" s="11">
        <v>21.8</v>
      </c>
      <c r="J122" s="12">
        <f t="shared" si="5"/>
        <v>21.8</v>
      </c>
    </row>
    <row r="123" spans="1:10" ht="32.25" customHeight="1">
      <c r="A123" s="7" t="s">
        <v>155</v>
      </c>
      <c r="B123" s="7" t="s">
        <v>27</v>
      </c>
      <c r="C123" s="7" t="s">
        <v>31</v>
      </c>
      <c r="D123" s="9">
        <v>16</v>
      </c>
      <c r="E123" s="8"/>
      <c r="F123" s="8"/>
      <c r="G123" s="9">
        <v>5</v>
      </c>
      <c r="H123" s="10">
        <f t="shared" si="3"/>
        <v>21</v>
      </c>
      <c r="I123" s="11">
        <v>1.47</v>
      </c>
      <c r="J123" s="12">
        <f t="shared" si="5"/>
        <v>30.87</v>
      </c>
    </row>
    <row r="124" spans="1:10" ht="32.25" customHeight="1">
      <c r="A124" s="7" t="s">
        <v>156</v>
      </c>
      <c r="B124" s="7" t="s">
        <v>27</v>
      </c>
      <c r="C124" s="7" t="s">
        <v>31</v>
      </c>
      <c r="D124" s="9">
        <v>14</v>
      </c>
      <c r="E124" s="8"/>
      <c r="F124" s="8"/>
      <c r="G124" s="9">
        <v>5</v>
      </c>
      <c r="H124" s="10">
        <f t="shared" si="3"/>
        <v>19</v>
      </c>
      <c r="I124" s="11">
        <v>1.44</v>
      </c>
      <c r="J124" s="12">
        <f t="shared" si="5"/>
        <v>27.36</v>
      </c>
    </row>
    <row r="125" spans="1:10" ht="32.25" customHeight="1">
      <c r="A125" s="7" t="s">
        <v>157</v>
      </c>
      <c r="B125" s="7" t="s">
        <v>27</v>
      </c>
      <c r="C125" s="7" t="s">
        <v>31</v>
      </c>
      <c r="D125" s="9"/>
      <c r="E125" s="8"/>
      <c r="F125" s="8"/>
      <c r="G125" s="9"/>
      <c r="H125" s="10">
        <f t="shared" si="3"/>
        <v>0</v>
      </c>
      <c r="I125" s="11">
        <v>1.18</v>
      </c>
      <c r="J125" s="12">
        <f t="shared" si="5"/>
        <v>0</v>
      </c>
    </row>
    <row r="126" spans="1:10" ht="32.25" customHeight="1">
      <c r="A126" s="7" t="s">
        <v>158</v>
      </c>
      <c r="B126" s="7" t="s">
        <v>27</v>
      </c>
      <c r="C126" s="7" t="s">
        <v>31</v>
      </c>
      <c r="D126" s="9">
        <v>16</v>
      </c>
      <c r="E126" s="8"/>
      <c r="F126" s="8"/>
      <c r="G126" s="9">
        <v>5</v>
      </c>
      <c r="H126" s="10">
        <f t="shared" si="3"/>
        <v>21</v>
      </c>
      <c r="I126" s="11">
        <v>1.45</v>
      </c>
      <c r="J126" s="12">
        <f t="shared" si="5"/>
        <v>30.45</v>
      </c>
    </row>
    <row r="127" spans="1:10" ht="32.25" customHeight="1">
      <c r="A127" s="7" t="s">
        <v>159</v>
      </c>
      <c r="B127" s="7" t="s">
        <v>27</v>
      </c>
      <c r="C127" s="7" t="s">
        <v>31</v>
      </c>
      <c r="D127" s="9"/>
      <c r="E127" s="8"/>
      <c r="F127" s="8"/>
      <c r="G127" s="9"/>
      <c r="H127" s="10">
        <f t="shared" si="3"/>
        <v>0</v>
      </c>
      <c r="I127" s="11">
        <v>1.93</v>
      </c>
      <c r="J127" s="12">
        <f t="shared" si="5"/>
        <v>0</v>
      </c>
    </row>
    <row r="128" spans="1:10" ht="32.25" customHeight="1">
      <c r="A128" s="7" t="s">
        <v>160</v>
      </c>
      <c r="B128" s="7" t="s">
        <v>27</v>
      </c>
      <c r="C128" s="7" t="s">
        <v>31</v>
      </c>
      <c r="D128" s="9">
        <v>19</v>
      </c>
      <c r="E128" s="8"/>
      <c r="F128" s="8"/>
      <c r="G128" s="8">
        <v>1</v>
      </c>
      <c r="H128" s="10">
        <f t="shared" si="3"/>
        <v>20</v>
      </c>
      <c r="I128" s="11">
        <v>1.46</v>
      </c>
      <c r="J128" s="12">
        <f t="shared" si="5"/>
        <v>29.2</v>
      </c>
    </row>
    <row r="129" spans="1:10" ht="32.25" customHeight="1">
      <c r="A129" s="7" t="s">
        <v>161</v>
      </c>
      <c r="B129" s="7" t="s">
        <v>27</v>
      </c>
      <c r="C129" s="7" t="s">
        <v>31</v>
      </c>
      <c r="D129" s="9">
        <v>9</v>
      </c>
      <c r="E129" s="8"/>
      <c r="F129" s="8"/>
      <c r="G129" s="9">
        <v>11</v>
      </c>
      <c r="H129" s="10">
        <f t="shared" si="3"/>
        <v>20</v>
      </c>
      <c r="I129" s="11">
        <v>1.31</v>
      </c>
      <c r="J129" s="12">
        <f t="shared" si="5"/>
        <v>26.200000000000003</v>
      </c>
    </row>
    <row r="130" spans="1:10" ht="32.25" customHeight="1">
      <c r="A130" t="s">
        <v>162</v>
      </c>
      <c r="B130" t="s">
        <v>30</v>
      </c>
      <c r="C130" s="7" t="s">
        <v>31</v>
      </c>
      <c r="D130" s="9">
        <v>3</v>
      </c>
      <c r="E130" s="8"/>
      <c r="F130" s="8"/>
      <c r="G130" s="9">
        <v>5</v>
      </c>
      <c r="H130" s="10">
        <f t="shared" si="3"/>
        <v>8</v>
      </c>
      <c r="I130" s="11">
        <v>1.59</v>
      </c>
      <c r="J130" s="12">
        <f t="shared" ref="J130:J132" si="6">SUM(H130*I130)</f>
        <v>12.72</v>
      </c>
    </row>
    <row r="131" spans="1:10" ht="32.25" customHeight="1">
      <c r="A131" t="s">
        <v>163</v>
      </c>
      <c r="B131" s="20" t="s">
        <v>30</v>
      </c>
      <c r="C131" s="7" t="s">
        <v>31</v>
      </c>
      <c r="D131" s="9">
        <v>14</v>
      </c>
      <c r="E131" s="8"/>
      <c r="F131" s="8">
        <v>6</v>
      </c>
      <c r="G131" s="9">
        <v>8</v>
      </c>
      <c r="H131" s="10">
        <f t="shared" si="3"/>
        <v>28</v>
      </c>
      <c r="I131" s="11">
        <v>1.56</v>
      </c>
      <c r="J131" s="12">
        <f t="shared" si="6"/>
        <v>43.68</v>
      </c>
    </row>
    <row r="132" spans="1:10" ht="32.25" customHeight="1">
      <c r="A132" t="s">
        <v>164</v>
      </c>
      <c r="B132" s="20" t="s">
        <v>30</v>
      </c>
      <c r="C132" s="7" t="s">
        <v>31</v>
      </c>
      <c r="D132" s="9">
        <v>2</v>
      </c>
      <c r="E132" s="8"/>
      <c r="F132" s="8"/>
      <c r="G132" s="9">
        <v>6</v>
      </c>
      <c r="H132" s="10">
        <f t="shared" si="3"/>
        <v>8</v>
      </c>
      <c r="I132" s="11">
        <v>1.59</v>
      </c>
      <c r="J132" s="12">
        <f t="shared" si="6"/>
        <v>12.72</v>
      </c>
    </row>
    <row r="133" spans="1:10" ht="32.25" customHeight="1">
      <c r="A133" t="s">
        <v>165</v>
      </c>
      <c r="B133" t="s">
        <v>166</v>
      </c>
      <c r="C133" s="7" t="s">
        <v>31</v>
      </c>
      <c r="D133" s="9">
        <v>21</v>
      </c>
      <c r="E133" s="8"/>
      <c r="F133" s="8"/>
      <c r="G133" s="9">
        <v>6</v>
      </c>
      <c r="H133" s="10">
        <f t="shared" si="3"/>
        <v>27</v>
      </c>
      <c r="I133" s="11">
        <v>1.59</v>
      </c>
      <c r="J133" s="12">
        <f t="shared" ref="J133:J143" si="7">SUM(H133*I133)</f>
        <v>42.93</v>
      </c>
    </row>
    <row r="134" spans="1:10" ht="32.25" customHeight="1">
      <c r="A134" t="s">
        <v>167</v>
      </c>
      <c r="B134" t="s">
        <v>166</v>
      </c>
      <c r="C134" s="7" t="s">
        <v>31</v>
      </c>
      <c r="D134" s="9">
        <v>28</v>
      </c>
      <c r="E134" s="8"/>
      <c r="F134" s="8"/>
      <c r="G134" s="9">
        <v>5</v>
      </c>
      <c r="H134" s="10">
        <f t="shared" si="3"/>
        <v>33</v>
      </c>
      <c r="I134" s="11">
        <v>1.56</v>
      </c>
      <c r="J134" s="12">
        <f t="shared" si="7"/>
        <v>51.480000000000004</v>
      </c>
    </row>
    <row r="135" spans="1:10" ht="32.25" customHeight="1">
      <c r="A135" t="s">
        <v>168</v>
      </c>
      <c r="B135" s="20" t="s">
        <v>30</v>
      </c>
      <c r="C135" s="7" t="s">
        <v>31</v>
      </c>
      <c r="D135" s="9">
        <v>8</v>
      </c>
      <c r="E135" s="8"/>
      <c r="F135" s="8"/>
      <c r="G135" s="9">
        <v>13</v>
      </c>
      <c r="H135" s="10">
        <f t="shared" si="3"/>
        <v>21</v>
      </c>
      <c r="I135" s="11">
        <v>1.93</v>
      </c>
      <c r="J135" s="12">
        <f t="shared" si="7"/>
        <v>40.53</v>
      </c>
    </row>
    <row r="136" spans="1:10" ht="32.25" customHeight="1">
      <c r="A136" t="s">
        <v>169</v>
      </c>
      <c r="B136" s="20" t="s">
        <v>30</v>
      </c>
      <c r="C136" s="7" t="s">
        <v>31</v>
      </c>
      <c r="D136" s="9">
        <v>6</v>
      </c>
      <c r="E136" s="8"/>
      <c r="F136" s="8"/>
      <c r="G136" s="9">
        <v>14</v>
      </c>
      <c r="H136" s="10">
        <f t="shared" si="3"/>
        <v>20</v>
      </c>
      <c r="I136" s="11">
        <v>1.93</v>
      </c>
      <c r="J136" s="12">
        <f t="shared" si="7"/>
        <v>38.6</v>
      </c>
    </row>
    <row r="137" spans="1:10" ht="32.25" customHeight="1">
      <c r="A137" t="s">
        <v>170</v>
      </c>
      <c r="B137" s="20" t="s">
        <v>30</v>
      </c>
      <c r="C137" s="7" t="s">
        <v>31</v>
      </c>
      <c r="D137" s="9">
        <v>20</v>
      </c>
      <c r="E137" s="8"/>
      <c r="F137" s="8"/>
      <c r="G137" s="9">
        <v>7</v>
      </c>
      <c r="H137" s="10">
        <f t="shared" si="3"/>
        <v>27</v>
      </c>
      <c r="I137" s="11">
        <v>1.86</v>
      </c>
      <c r="J137" s="12">
        <f t="shared" si="7"/>
        <v>50.220000000000006</v>
      </c>
    </row>
    <row r="138" spans="1:10" ht="32.25" customHeight="1">
      <c r="A138" t="s">
        <v>171</v>
      </c>
      <c r="B138" s="20" t="s">
        <v>30</v>
      </c>
      <c r="C138" s="7" t="s">
        <v>31</v>
      </c>
      <c r="D138" s="9">
        <v>16</v>
      </c>
      <c r="E138" s="8"/>
      <c r="F138" s="8"/>
      <c r="G138" s="9">
        <v>4</v>
      </c>
      <c r="H138" s="10">
        <f t="shared" si="3"/>
        <v>20</v>
      </c>
      <c r="I138" s="11">
        <v>1.86</v>
      </c>
      <c r="J138" s="12">
        <f t="shared" si="7"/>
        <v>37.200000000000003</v>
      </c>
    </row>
    <row r="139" spans="1:10" ht="32.25" customHeight="1">
      <c r="A139" t="s">
        <v>172</v>
      </c>
      <c r="B139" s="20" t="s">
        <v>30</v>
      </c>
      <c r="C139" s="7" t="s">
        <v>31</v>
      </c>
      <c r="D139" s="9">
        <v>20</v>
      </c>
      <c r="E139" s="8"/>
      <c r="F139" s="8"/>
      <c r="G139" s="9">
        <v>7</v>
      </c>
      <c r="H139" s="10">
        <f t="shared" si="3"/>
        <v>27</v>
      </c>
      <c r="I139" s="11">
        <v>1.86</v>
      </c>
      <c r="J139" s="12">
        <f t="shared" si="7"/>
        <v>50.220000000000006</v>
      </c>
    </row>
    <row r="140" spans="1:10" ht="32.25" customHeight="1">
      <c r="A140" t="s">
        <v>173</v>
      </c>
      <c r="B140" s="20" t="s">
        <v>30</v>
      </c>
      <c r="C140" s="7" t="s">
        <v>31</v>
      </c>
      <c r="D140" s="9">
        <v>20</v>
      </c>
      <c r="E140" s="8"/>
      <c r="F140" s="8"/>
      <c r="G140" s="9">
        <v>1</v>
      </c>
      <c r="H140" s="10">
        <f t="shared" ref="H140:H143" si="8">SUM(D140:G140)</f>
        <v>21</v>
      </c>
      <c r="I140" s="11">
        <v>1.86</v>
      </c>
      <c r="J140" s="12">
        <f t="shared" si="7"/>
        <v>39.06</v>
      </c>
    </row>
    <row r="141" spans="1:10" ht="32.25" customHeight="1">
      <c r="A141" t="s">
        <v>174</v>
      </c>
      <c r="B141" s="20" t="s">
        <v>30</v>
      </c>
      <c r="C141" s="7" t="s">
        <v>31</v>
      </c>
      <c r="D141" s="9">
        <v>4</v>
      </c>
      <c r="E141" s="8"/>
      <c r="F141" s="8"/>
      <c r="G141" s="9">
        <v>5</v>
      </c>
      <c r="H141" s="10">
        <f t="shared" si="8"/>
        <v>9</v>
      </c>
      <c r="I141" s="11">
        <v>1.86</v>
      </c>
      <c r="J141" s="12">
        <f t="shared" si="7"/>
        <v>16.740000000000002</v>
      </c>
    </row>
    <row r="142" spans="1:10" ht="32.25" customHeight="1">
      <c r="A142" t="s">
        <v>175</v>
      </c>
      <c r="B142" s="20" t="s">
        <v>30</v>
      </c>
      <c r="C142" s="7" t="s">
        <v>31</v>
      </c>
      <c r="D142" s="9">
        <v>8</v>
      </c>
      <c r="E142" s="8"/>
      <c r="F142" s="8"/>
      <c r="G142" s="9">
        <v>4</v>
      </c>
      <c r="H142" s="10">
        <f t="shared" si="8"/>
        <v>12</v>
      </c>
      <c r="I142" s="11">
        <v>1.86</v>
      </c>
      <c r="J142" s="12">
        <f t="shared" si="7"/>
        <v>22.32</v>
      </c>
    </row>
    <row r="143" spans="1:10" ht="32.25" customHeight="1">
      <c r="A143" t="s">
        <v>176</v>
      </c>
      <c r="B143" s="20" t="s">
        <v>30</v>
      </c>
      <c r="C143" s="7" t="s">
        <v>31</v>
      </c>
      <c r="D143" s="9">
        <v>20</v>
      </c>
      <c r="E143" s="8"/>
      <c r="F143" s="8"/>
      <c r="G143" s="9">
        <v>3</v>
      </c>
      <c r="H143" s="10">
        <f t="shared" si="8"/>
        <v>23</v>
      </c>
      <c r="I143" s="11">
        <v>1.86</v>
      </c>
      <c r="J143" s="12">
        <f t="shared" si="7"/>
        <v>42.78</v>
      </c>
    </row>
    <row r="144" spans="1:10" ht="32.25" customHeight="1">
      <c r="D144" s="15"/>
      <c r="E144" s="16"/>
      <c r="F144" s="16"/>
      <c r="G144" s="15"/>
      <c r="H144" s="17"/>
      <c r="I144" s="18"/>
      <c r="J144" s="19"/>
    </row>
    <row r="146" spans="9:10" ht="15" thickBot="1">
      <c r="I146" s="1" t="s">
        <v>25</v>
      </c>
      <c r="J146" s="13">
        <f>SUM(J11:J129)</f>
        <v>2089.9654999999998</v>
      </c>
    </row>
  </sheetData>
  <autoFilter ref="A10:J143" xr:uid="{00000000-0001-0000-0000-000000000000}"/>
  <pageMargins left="0.75" right="0.75" top="1" bottom="1" header="0.511811023622047" footer="0.511811023622047"/>
  <pageSetup paperSize="9" scale="6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portantFilesJimHiggins xmlns="c50c03fa-f7de-4d76-9dc1-21bfa412dde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E07980F7E1984A87D7A19D90543F51" ma:contentTypeVersion="5" ma:contentTypeDescription="Create a new document." ma:contentTypeScope="" ma:versionID="ac173f68bfa5cf933baaa46356672a73">
  <xsd:schema xmlns:xsd="http://www.w3.org/2001/XMLSchema" xmlns:xs="http://www.w3.org/2001/XMLSchema" xmlns:p="http://schemas.microsoft.com/office/2006/metadata/properties" xmlns:ns2="c50c03fa-f7de-4d76-9dc1-21bfa412dde9" targetNamespace="http://schemas.microsoft.com/office/2006/metadata/properties" ma:root="true" ma:fieldsID="90599ae8692714cd4ff7de1dcb68583c" ns2:_="">
    <xsd:import namespace="c50c03fa-f7de-4d76-9dc1-21bfa412dd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ImportantFilesJimHiggi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c03fa-f7de-4d76-9dc1-21bfa412d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ImportantFilesJimHiggins" ma:index="12" nillable="true" ma:displayName="Important Files Jim Higgins" ma:format="Dropdown" ma:internalName="ImportantFilesJimHiggin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372427-FE69-408F-B21A-CC31DF76224A}"/>
</file>

<file path=customXml/itemProps2.xml><?xml version="1.0" encoding="utf-8"?>
<ds:datastoreItem xmlns:ds="http://schemas.openxmlformats.org/officeDocument/2006/customXml" ds:itemID="{E7D6987C-BF3F-4C2E-ACB6-40678EDA32F5}"/>
</file>

<file path=customXml/itemProps3.xml><?xml version="1.0" encoding="utf-8"?>
<ds:datastoreItem xmlns:ds="http://schemas.openxmlformats.org/officeDocument/2006/customXml" ds:itemID="{65A1502D-B7E2-4EE5-89A7-C3985FE3586C}"/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Bruce, Tyson K CIV (USA)</cp:lastModifiedBy>
  <cp:revision>0</cp:revision>
  <dcterms:created xsi:type="dcterms:W3CDTF">2026-08-02T19:36:01Z</dcterms:created>
  <dcterms:modified xsi:type="dcterms:W3CDTF">2026-10-01T18:00:47Z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0x0101008AE07980F7E1984A87D7A19D90543F51</vt:lpwstr>
  </property>
  <property fmtid="{D5CDD505-2E9C-101B-9397-08002B2CF9AE}" pid="3" name="_NewReviewCycle">
    <vt:lpwstr/>
  </property>
</Properties>
</file>