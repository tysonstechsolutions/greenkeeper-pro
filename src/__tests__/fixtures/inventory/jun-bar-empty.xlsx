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brooke_n_nelson2_naf_us_navy_mil/Documents/Desktop/JUNE/"/>
    </mc:Choice>
  </mc:AlternateContent>
  <xr:revisionPtr revIDLastSave="0" documentId="8_{0BA4BA54-D51C-453B-B8A3-C6E6694AA7B3}" xr6:coauthVersionLast="47" xr6:coauthVersionMax="47" xr10:uidLastSave="{00000000-0000-0000-0000-000000000000}"/>
  <bookViews>
    <workbookView xWindow="25365" yWindow="480" windowWidth="26100" windowHeight="15000" tabRatio="500" xr2:uid="{00000000-000D-0000-FFFF-FFFF00000000}"/>
  </bookViews>
  <sheets>
    <sheet name="A" sheetId="1" r:id="rId1"/>
  </sheets>
  <definedNames>
    <definedName name="_xlnm.Print_Area" localSheetId="0">A!$A$1:$K$116</definedName>
    <definedName name="_xlnm.Print_Titles" localSheetId="0">A!$10:$10,A!$A:$K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14" i="1" l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3" i="1"/>
  <c r="K72" i="1"/>
  <c r="K71" i="1"/>
  <c r="K70" i="1"/>
  <c r="K69" i="1"/>
  <c r="K68" i="1"/>
  <c r="K67" i="1"/>
  <c r="K66" i="1"/>
  <c r="K64" i="1"/>
  <c r="K63" i="1"/>
  <c r="K62" i="1"/>
  <c r="K61" i="1"/>
  <c r="K60" i="1"/>
  <c r="K59" i="1"/>
  <c r="K58" i="1"/>
  <c r="K57" i="1"/>
  <c r="K56" i="1"/>
  <c r="K55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5" i="1" l="1"/>
  <c r="K3" i="1" s="1"/>
</calcChain>
</file>

<file path=xl/sharedStrings.xml><?xml version="1.0" encoding="utf-8"?>
<sst xmlns="http://schemas.openxmlformats.org/spreadsheetml/2006/main" count="339" uniqueCount="140">
  <si>
    <t>FACILITY</t>
  </si>
  <si>
    <t>SITE NO</t>
  </si>
  <si>
    <t>COST CTR</t>
  </si>
  <si>
    <t>ACCOUNT</t>
  </si>
  <si>
    <t>MONTH ENDING</t>
  </si>
  <si>
    <t>BUCKLEY'S - BAR</t>
  </si>
  <si>
    <t>7009</t>
  </si>
  <si>
    <t>TOTAL:</t>
  </si>
  <si>
    <t xml:space="preserve">COUNTED BY: </t>
  </si>
  <si>
    <t xml:space="preserve">Date:  </t>
  </si>
  <si>
    <t>COMPUTER ENTRY</t>
  </si>
  <si>
    <t xml:space="preserve">  </t>
  </si>
  <si>
    <t xml:space="preserve">RECORDED BY: </t>
  </si>
  <si>
    <t xml:space="preserve">Date: </t>
  </si>
  <si>
    <t xml:space="preserve">REVIEWED BY: </t>
  </si>
  <si>
    <t xml:space="preserve"> </t>
  </si>
  <si>
    <t xml:space="preserve"> STOCK #</t>
  </si>
  <si>
    <t>DESCRIPTION</t>
  </si>
  <si>
    <t>TYPE</t>
  </si>
  <si>
    <t xml:space="preserve"> UNIT</t>
  </si>
  <si>
    <t>Cooler</t>
  </si>
  <si>
    <t>DRY storage</t>
  </si>
  <si>
    <t>PRO SHOP</t>
  </si>
  <si>
    <t>Bar</t>
  </si>
  <si>
    <t>Count Total</t>
  </si>
  <si>
    <t>COST</t>
  </si>
  <si>
    <t>TOTAL</t>
  </si>
  <si>
    <t>-</t>
  </si>
  <si>
    <t>-----------------------</t>
  </si>
  <si>
    <t>EMPTY KEGS (VERIFY COUNT)</t>
  </si>
  <si>
    <t>BEER</t>
  </si>
  <si>
    <t>KG</t>
  </si>
  <si>
    <t xml:space="preserve">ANGRY ORCHARD 16OZ </t>
  </si>
  <si>
    <t>SPECIAL</t>
  </si>
  <si>
    <t>CAN</t>
  </si>
  <si>
    <t xml:space="preserve">BLUE MOON 16OZ </t>
  </si>
  <si>
    <t>BUD 16 OZ</t>
  </si>
  <si>
    <t>Bullet</t>
  </si>
  <si>
    <t>BUD LITE 16 OZ</t>
  </si>
  <si>
    <t>BUFFALO CREEK: LONG GROVE 16 OZ</t>
  </si>
  <si>
    <t xml:space="preserve">CARBLISS 12OZ </t>
  </si>
  <si>
    <t xml:space="preserve">COORS BANQUET 16OZ </t>
  </si>
  <si>
    <t>ALBTL</t>
  </si>
  <si>
    <t xml:space="preserve">COORS LIGHT 16OZ </t>
  </si>
  <si>
    <t xml:space="preserve">CORONA EXTRA 16OZ </t>
  </si>
  <si>
    <t>CORONA PREMIER 16 OZ</t>
  </si>
  <si>
    <t>CUTWATER, ASST 12OZ</t>
  </si>
  <si>
    <t xml:space="preserve">GOOSE ISLAND IPA 16OZ </t>
  </si>
  <si>
    <t>GOOSE ISLAND: TROPICAL HUG 12OZ</t>
  </si>
  <si>
    <t xml:space="preserve">GUINESS 16OZ  </t>
  </si>
  <si>
    <t>SUMMER SHANDY 12 OZ</t>
  </si>
  <si>
    <t>LEINENKUGEL: SUMMER SHANDY 16 OZ</t>
  </si>
  <si>
    <t>MICHALOB: ULTRA 16 OZ</t>
  </si>
  <si>
    <t xml:space="preserve">MICHALOB ULTRA 16OZ </t>
  </si>
  <si>
    <t xml:space="preserve">MIKES HARDER, ASST 16OZ </t>
  </si>
  <si>
    <t xml:space="preserve">MILLER LIGHT 16OZ  </t>
  </si>
  <si>
    <t xml:space="preserve">MILLER LITE 12 OZ  </t>
  </si>
  <si>
    <t>MODEL ESPECIAL 16OZ</t>
  </si>
  <si>
    <t>PABST 16 OZ</t>
  </si>
  <si>
    <t>PACIFICO 16 OZ</t>
  </si>
  <si>
    <t xml:space="preserve">REVOLUTION ANTI HERO 16OZ  </t>
  </si>
  <si>
    <t>REVOLUTION FIST CITY 12OZ</t>
  </si>
  <si>
    <t>REVOLUTION HAZY HERO 12OZ</t>
  </si>
  <si>
    <t>SAM ADAMS: LAGER 12 OZ</t>
  </si>
  <si>
    <t>BTL</t>
  </si>
  <si>
    <t>SIERRA NEVADA TORPEDO</t>
  </si>
  <si>
    <t>STELLA</t>
  </si>
  <si>
    <t xml:space="preserve">TIGHTHEAD IRIE IPA 16OZ </t>
  </si>
  <si>
    <t>DIRTY SHIRLY</t>
  </si>
  <si>
    <t>SUNCRUISER HARD TEA 12OZ</t>
  </si>
  <si>
    <t xml:space="preserve">TWISTED TEA 16OZ </t>
  </si>
  <si>
    <t>WHITE CLAW: VARIETRY 12 OZ</t>
  </si>
  <si>
    <t xml:space="preserve">WHITE CLAW, ASST 16OZ </t>
  </si>
  <si>
    <t>YUENGLING</t>
  </si>
  <si>
    <t>BULLET</t>
  </si>
  <si>
    <t>YUENGLING FLIGHT</t>
  </si>
  <si>
    <t>JUICE: CRANBERRY  (10 OZ)</t>
  </si>
  <si>
    <t xml:space="preserve">DRY </t>
  </si>
  <si>
    <t>JUICE: ORANGE (10 OZ)</t>
  </si>
  <si>
    <t>GINGER ALE 12OZ</t>
  </si>
  <si>
    <t>CLUB SODA 10OZ</t>
  </si>
  <si>
    <t>MIX: BLOODY MARY  (LITER)</t>
  </si>
  <si>
    <t>JUICE: PINEAPPLE 7.2 OZ</t>
  </si>
  <si>
    <t>TONIC 10 OZ</t>
  </si>
  <si>
    <t>MIX: MARGARITA (LITER)</t>
  </si>
  <si>
    <t>MIX: SWEET AND SOUR (LITER)</t>
  </si>
  <si>
    <t>MIX: GRENADINE (LITER)</t>
  </si>
  <si>
    <t>SUTTER/HOME: CABARNET</t>
  </si>
  <si>
    <t>WINE</t>
  </si>
  <si>
    <t>MINI</t>
  </si>
  <si>
    <t>SUTTER/HOME: CHARDONNAY</t>
  </si>
  <si>
    <t>SUTTER/HOME: REISLING</t>
  </si>
  <si>
    <t>SUTTER/HOME: MERLOT</t>
  </si>
  <si>
    <t>SUTTER/HOME: PINOT GRIGIO</t>
  </si>
  <si>
    <t>SUTTER/HOME: WHITE ZINFADEL</t>
  </si>
  <si>
    <t>COPA DI VINO: PINOT GRIGIO</t>
  </si>
  <si>
    <t>COPA DI VINO: RIESLING</t>
  </si>
  <si>
    <t>ABSOLUT CITRON</t>
  </si>
  <si>
    <t xml:space="preserve">LIQUOR </t>
  </si>
  <si>
    <t>LTR</t>
  </si>
  <si>
    <t xml:space="preserve">AMARETTO   </t>
  </si>
  <si>
    <t>BACARDI LIGHT</t>
  </si>
  <si>
    <t xml:space="preserve">BAILEYS IRISH  </t>
  </si>
  <si>
    <t>BLUE CURACAO</t>
  </si>
  <si>
    <t>CUTWATER: GIN</t>
  </si>
  <si>
    <t xml:space="preserve">CHAMBORD </t>
  </si>
  <si>
    <t xml:space="preserve">COURVOISIER (PROMO) </t>
  </si>
  <si>
    <t xml:space="preserve">CROWN ROYAL </t>
  </si>
  <si>
    <t xml:space="preserve">FIREBALL </t>
  </si>
  <si>
    <t xml:space="preserve">GIN: ARISTOCRAT  </t>
  </si>
  <si>
    <t xml:space="preserve">GRAND MARNIER  </t>
  </si>
  <si>
    <t xml:space="preserve">HENNESSEY  </t>
  </si>
  <si>
    <t xml:space="preserve">J. BAVET  </t>
  </si>
  <si>
    <t xml:space="preserve">JACK DANIELS </t>
  </si>
  <si>
    <t>JACK DANIELS: HONEY</t>
  </si>
  <si>
    <t xml:space="preserve">JAGERMEISTER  </t>
  </si>
  <si>
    <t xml:space="preserve">JAMESON  </t>
  </si>
  <si>
    <t xml:space="preserve">JIM BEAM </t>
  </si>
  <si>
    <t xml:space="preserve">KAHLUA  </t>
  </si>
  <si>
    <t xml:space="preserve">MAKERS MARK  </t>
  </si>
  <si>
    <t>PATRON SILVER</t>
  </si>
  <si>
    <t>750 ML</t>
  </si>
  <si>
    <t xml:space="preserve">RUM: CAPT. MORGAN  </t>
  </si>
  <si>
    <t>RUM: WELL: CASTILLO</t>
  </si>
  <si>
    <t xml:space="preserve">RUM: MALIBU  </t>
  </si>
  <si>
    <t xml:space="preserve">SCHNAPPS: PEACH   </t>
  </si>
  <si>
    <t xml:space="preserve">SCOTCH: BELLOWS  </t>
  </si>
  <si>
    <t xml:space="preserve">SOUTHERN COMFORT  </t>
  </si>
  <si>
    <t>TEQUILA: CASAMIGOS</t>
  </si>
  <si>
    <t>TEQUILA: JOSE CUERVO GOLD</t>
  </si>
  <si>
    <t xml:space="preserve">TEQUILA: WELL: ARANDAS </t>
  </si>
  <si>
    <t>TEQUILA: 1800</t>
  </si>
  <si>
    <t xml:space="preserve">TRIPLE SEC </t>
  </si>
  <si>
    <t xml:space="preserve">VERMOUTH - DRY  </t>
  </si>
  <si>
    <t xml:space="preserve">VERMOUTH - SWEET  </t>
  </si>
  <si>
    <t xml:space="preserve">VODKA: ARISTOCRAT  </t>
  </si>
  <si>
    <t>VODKA: KETTLE ONE</t>
  </si>
  <si>
    <t xml:space="preserve">VODKA: TITO'S  </t>
  </si>
  <si>
    <t>WILD TURKEY</t>
  </si>
  <si>
    <t>BLACK BARREL JAMESON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</si>
</sst>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\-mmm\-yy;@"/>
    <numFmt numFmtId="165" formatCode="_(\$* #,##0.00_);_(\$* \(#,##0.00\);_(\$* \-??_);_(@_)"/>
    <numFmt numFmtId="166" formatCode="0.000"/>
    <numFmt numFmtId="167" formatCode="_(* #,##0.00_);_(* \(#,##0.00\);_(* \-??_);_(@_)"/>
  </numFmts>
  <fonts count="19">
    <font>
      <sz val="12"/>
      <name val="Arial"/>
      <charset val="1"/>
    </font>
    <font>
      <sz val="11"/>
      <color theme="1"/>
      <name val="Calibri"/>
      <family val="2"/>
      <charset val="1"/>
    </font>
    <font>
      <sz val="11"/>
      <name val="Arial"/>
      <family val="2"/>
      <charset val="1"/>
    </font>
    <font>
      <b/>
      <i/>
      <sz val="11"/>
      <name val="Calibri"/>
      <family val="2"/>
      <charset val="1"/>
    </font>
    <font>
      <b/>
      <sz val="11"/>
      <name val="Arial"/>
      <family val="2"/>
      <charset val="1"/>
    </font>
    <font>
      <b/>
      <i/>
      <sz val="9"/>
      <name val="Calibri"/>
      <family val="2"/>
      <charset val="1"/>
    </font>
    <font>
      <sz val="12"/>
      <name val="Arial"/>
      <family val="2"/>
      <charset val="1"/>
    </font>
    <font>
      <sz val="11"/>
      <name val="Calibri"/>
      <family val="2"/>
      <charset val="1"/>
    </font>
    <font>
      <b/>
      <i/>
      <sz val="12"/>
      <name val="Calibri"/>
      <family val="2"/>
      <charset val="1"/>
    </font>
    <font>
      <sz val="11"/>
      <name val="Calibri"/>
      <charset val="1"/>
    </font>
    <font>
      <b/>
      <i/>
      <sz val="12"/>
      <color theme="1"/>
      <name val="Calibri"/>
      <family val="2"/>
      <charset val="1"/>
    </font>
    <font>
      <b/>
      <i/>
      <sz val="11"/>
      <color theme="0" tint="-0.499984740745262"/>
      <name val="Calibri"/>
      <family val="2"/>
      <charset val="1"/>
    </font>
    <font>
      <b/>
      <i/>
      <sz val="10"/>
      <color theme="0" tint="-0.499984740745262"/>
      <name val="Calibri"/>
      <family val="2"/>
      <charset val="1"/>
    </font>
    <font>
      <b/>
      <sz val="12"/>
      <name val="Arial"/>
      <family val="2"/>
      <charset val="1"/>
    </font>
    <font>
      <b/>
      <sz val="7.5"/>
      <name val="Arial"/>
      <family val="2"/>
      <charset val="1"/>
    </font>
    <font>
      <b/>
      <sz val="7.5"/>
      <name val="Calibri"/>
      <family val="2"/>
      <charset val="1"/>
    </font>
    <font>
      <b/>
      <sz val="8"/>
      <name val="Arial"/>
      <family val="2"/>
      <charset val="1"/>
    </font>
    <font>
      <b/>
      <i/>
      <sz val="11"/>
      <name val="Arial"/>
      <family val="2"/>
      <charset val="1"/>
    </font>
    <font>
      <sz val="11"/>
      <color rgb="FF000000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3" tint="0.59987182226020086"/>
        <bgColor rgb="FF9999FF"/>
      </patternFill>
    </fill>
    <fill>
      <patternFill patternType="solid">
        <fgColor theme="4" tint="0.59987182226020086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4">
    <xf numFmtId="0" fontId="0" fillId="2" borderId="0"/>
    <xf numFmtId="167" fontId="6" fillId="0" borderId="0"/>
    <xf numFmtId="165" fontId="6" fillId="0" borderId="0"/>
    <xf numFmtId="0" fontId="1" fillId="0" borderId="0"/>
  </cellStyleXfs>
  <cellXfs count="73">
    <xf numFmtId="0" fontId="0" fillId="2" borderId="0" xfId="0"/>
    <xf numFmtId="0" fontId="2" fillId="2" borderId="0" xfId="0" applyFont="1"/>
    <xf numFmtId="0" fontId="2" fillId="2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3" fillId="2" borderId="0" xfId="3" applyFont="1" applyFill="1" applyAlignment="1">
      <alignment horizontal="center"/>
    </xf>
    <xf numFmtId="0" fontId="4" fillId="0" borderId="0" xfId="0" applyFont="1" applyFill="1"/>
    <xf numFmtId="0" fontId="3" fillId="3" borderId="0" xfId="3" applyFont="1" applyFill="1" applyAlignment="1">
      <alignment horizontal="right"/>
    </xf>
    <xf numFmtId="2" fontId="3" fillId="3" borderId="0" xfId="3" applyNumberFormat="1" applyFont="1" applyFill="1" applyAlignment="1">
      <alignment horizontal="center"/>
    </xf>
    <xf numFmtId="0" fontId="5" fillId="3" borderId="0" xfId="3" applyFont="1" applyFill="1" applyAlignment="1">
      <alignment horizontal="center"/>
    </xf>
    <xf numFmtId="0" fontId="6" fillId="2" borderId="0" xfId="0" applyFont="1"/>
    <xf numFmtId="0" fontId="7" fillId="2" borderId="0" xfId="3" applyFont="1" applyFill="1"/>
    <xf numFmtId="0" fontId="8" fillId="2" borderId="0" xfId="3" applyFont="1" applyFill="1" applyAlignment="1">
      <alignment horizontal="center"/>
    </xf>
    <xf numFmtId="0" fontId="2" fillId="0" borderId="0" xfId="0" applyFont="1" applyFill="1"/>
    <xf numFmtId="49" fontId="8" fillId="3" borderId="0" xfId="3" applyNumberFormat="1" applyFont="1" applyFill="1" applyAlignment="1">
      <alignment horizontal="center"/>
    </xf>
    <xf numFmtId="0" fontId="8" fillId="3" borderId="0" xfId="3" applyFont="1" applyFill="1" applyAlignment="1">
      <alignment horizontal="center"/>
    </xf>
    <xf numFmtId="164" fontId="8" fillId="3" borderId="0" xfId="3" applyNumberFormat="1" applyFont="1" applyFill="1"/>
    <xf numFmtId="165" fontId="8" fillId="3" borderId="0" xfId="2" applyFont="1" applyFill="1"/>
    <xf numFmtId="0" fontId="3" fillId="2" borderId="0" xfId="3" applyFont="1" applyFill="1" applyAlignment="1">
      <alignment horizontal="left"/>
    </xf>
    <xf numFmtId="0" fontId="9" fillId="2" borderId="1" xfId="3" applyFont="1" applyFill="1" applyBorder="1"/>
    <xf numFmtId="14" fontId="3" fillId="2" borderId="0" xfId="3" applyNumberFormat="1" applyFont="1" applyFill="1" applyAlignment="1">
      <alignment horizontal="right"/>
    </xf>
    <xf numFmtId="14" fontId="9" fillId="2" borderId="1" xfId="3" applyNumberFormat="1" applyFont="1" applyFill="1" applyBorder="1" applyAlignment="1">
      <alignment horizontal="center"/>
    </xf>
    <xf numFmtId="0" fontId="7" fillId="0" borderId="0" xfId="3" applyFont="1" applyAlignment="1">
      <alignment horizontal="right"/>
    </xf>
    <xf numFmtId="164" fontId="10" fillId="0" borderId="0" xfId="0" applyNumberFormat="1" applyFont="1" applyFill="1" applyAlignment="1">
      <alignment horizontal="center"/>
    </xf>
    <xf numFmtId="2" fontId="11" fillId="2" borderId="0" xfId="0" applyNumberFormat="1" applyFont="1" applyAlignment="1">
      <alignment horizontal="center"/>
    </xf>
    <xf numFmtId="0" fontId="12" fillId="2" borderId="0" xfId="0" applyFont="1" applyAlignment="1">
      <alignment horizontal="center"/>
    </xf>
    <xf numFmtId="0" fontId="3" fillId="2" borderId="0" xfId="3" applyFont="1" applyFill="1" applyAlignment="1">
      <alignment horizontal="right"/>
    </xf>
    <xf numFmtId="0" fontId="7" fillId="0" borderId="0" xfId="3" applyFont="1"/>
    <xf numFmtId="2" fontId="6" fillId="2" borderId="0" xfId="0" applyNumberFormat="1" applyFont="1"/>
    <xf numFmtId="0" fontId="13" fillId="0" borderId="0" xfId="3" applyFont="1"/>
    <xf numFmtId="0" fontId="7" fillId="2" borderId="1" xfId="3" applyFont="1" applyFill="1" applyBorder="1"/>
    <xf numFmtId="14" fontId="7" fillId="2" borderId="1" xfId="3" applyNumberFormat="1" applyFont="1" applyFill="1" applyBorder="1"/>
    <xf numFmtId="0" fontId="3" fillId="2" borderId="1" xfId="3" applyFont="1" applyFill="1" applyBorder="1"/>
    <xf numFmtId="14" fontId="2" fillId="2" borderId="1" xfId="0" applyNumberFormat="1" applyFont="1" applyBorder="1" applyAlignment="1">
      <alignment horizontal="center"/>
    </xf>
    <xf numFmtId="2" fontId="7" fillId="2" borderId="0" xfId="3" applyNumberFormat="1" applyFont="1" applyFill="1"/>
    <xf numFmtId="2" fontId="0" fillId="2" borderId="0" xfId="0" applyNumberFormat="1"/>
    <xf numFmtId="2" fontId="0" fillId="0" borderId="0" xfId="0" applyNumberFormat="1" applyFill="1"/>
    <xf numFmtId="0" fontId="0" fillId="0" borderId="0" xfId="0" applyFill="1" applyAlignment="1">
      <alignment horizontal="left"/>
    </xf>
    <xf numFmtId="0" fontId="4" fillId="2" borderId="0" xfId="0" applyFont="1" applyAlignment="1">
      <alignment horizontal="center" vertical="center"/>
    </xf>
    <xf numFmtId="0" fontId="14" fillId="2" borderId="2" xfId="0" applyFont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2" fillId="2" borderId="0" xfId="0" applyFont="1" applyAlignment="1">
      <alignment horizontal="center" vertical="center"/>
    </xf>
    <xf numFmtId="0" fontId="2" fillId="2" borderId="0" xfId="0" applyFont="1" applyAlignment="1">
      <alignment horizontal="fill"/>
    </xf>
    <xf numFmtId="0" fontId="2" fillId="2" borderId="2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fill"/>
    </xf>
    <xf numFmtId="0" fontId="2" fillId="2" borderId="3" xfId="0" applyFont="1" applyBorder="1"/>
    <xf numFmtId="0" fontId="17" fillId="2" borderId="3" xfId="0" applyFont="1" applyBorder="1"/>
    <xf numFmtId="0" fontId="2" fillId="2" borderId="3" xfId="0" applyFont="1" applyBorder="1" applyAlignment="1">
      <alignment horizontal="center"/>
    </xf>
    <xf numFmtId="0" fontId="4" fillId="2" borderId="3" xfId="0" applyFont="1" applyBorder="1" applyAlignment="1">
      <alignment horizontal="center"/>
    </xf>
    <xf numFmtId="0" fontId="4" fillId="2" borderId="2" xfId="0" applyFont="1" applyBorder="1" applyAlignment="1">
      <alignment horizontal="center"/>
    </xf>
    <xf numFmtId="2" fontId="4" fillId="3" borderId="2" xfId="0" applyNumberFormat="1" applyFont="1" applyFill="1" applyBorder="1" applyAlignment="1">
      <alignment horizontal="center"/>
    </xf>
    <xf numFmtId="166" fontId="2" fillId="2" borderId="3" xfId="0" applyNumberFormat="1" applyFont="1" applyBorder="1"/>
    <xf numFmtId="2" fontId="2" fillId="2" borderId="3" xfId="0" applyNumberFormat="1" applyFont="1" applyBorder="1"/>
    <xf numFmtId="0" fontId="18" fillId="2" borderId="0" xfId="0" applyFont="1"/>
    <xf numFmtId="0" fontId="2" fillId="4" borderId="3" xfId="0" applyFont="1" applyFill="1" applyBorder="1"/>
    <xf numFmtId="0" fontId="2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66" fontId="2" fillId="4" borderId="3" xfId="0" applyNumberFormat="1" applyFont="1" applyFill="1" applyBorder="1"/>
    <xf numFmtId="166" fontId="2" fillId="0" borderId="3" xfId="0" applyNumberFormat="1" applyFont="1" applyFill="1" applyBorder="1"/>
    <xf numFmtId="2" fontId="2" fillId="0" borderId="3" xfId="0" applyNumberFormat="1" applyFont="1" applyFill="1" applyBorder="1"/>
    <xf numFmtId="0" fontId="2" fillId="0" borderId="3" xfId="0" applyFont="1" applyFill="1" applyBorder="1"/>
    <xf numFmtId="0" fontId="4" fillId="3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6" fillId="0" borderId="0" xfId="0" applyFont="1" applyFill="1"/>
    <xf numFmtId="2" fontId="2" fillId="2" borderId="4" xfId="0" applyNumberFormat="1" applyFont="1" applyBorder="1"/>
    <xf numFmtId="166" fontId="2" fillId="5" borderId="3" xfId="0" applyNumberFormat="1" applyFont="1" applyFill="1" applyBorder="1"/>
    <xf numFmtId="0" fontId="4" fillId="0" borderId="0" xfId="0" applyFont="1" applyFill="1" applyAlignment="1">
      <alignment horizontal="right"/>
    </xf>
    <xf numFmtId="167" fontId="4" fillId="0" borderId="5" xfId="1" applyFont="1" applyBorder="1"/>
    <xf numFmtId="0" fontId="2" fillId="6" borderId="3" xfId="0" applyFont="1" applyFill="1" applyBorder="1"/>
    <xf numFmtId="2" fontId="2" fillId="2" borderId="0" xfId="0" applyNumberFormat="1" applyFont="1"/>
  </cellXfs>
  <cellStyles count="4">
    <cellStyle name="Comma" xfId="1" builtinId="3"/>
    <cellStyle name="Currency" xfId="2" builtinId="4"/>
    <cellStyle name="Normal" xfId="0" builtinId="0"/>
    <cellStyle name="Normal 2" xfId="3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6"/>
  <sheetViews>
    <sheetView showGridLines="0" tabSelected="1" showOutlineSymbols="0" view="pageBreakPreview" zoomScale="110" zoomScaleNormal="100" zoomScalePageLayoutView="110" workbookViewId="0">
      <selection activeCell="K3" sqref="K3"/>
    </sheetView>
  </sheetViews>
  <sheetFormatPr defaultColWidth="11.44140625" defaultRowHeight="14.25"/>
  <cols>
    <col min="1" max="1" width="13" style="1" customWidth="1"/>
    <col min="2" max="2" width="26.109375" style="1" customWidth="1"/>
    <col min="3" max="3" width="8.5546875" style="2" customWidth="1"/>
    <col min="4" max="4" width="9.33203125" style="2" customWidth="1"/>
    <col min="5" max="5" width="5" style="2" customWidth="1"/>
    <col min="6" max="6" width="5.5546875" style="2" customWidth="1"/>
    <col min="7" max="7" width="5.44140625" style="3" customWidth="1"/>
    <col min="8" max="8" width="5.5546875" style="2" customWidth="1"/>
    <col min="9" max="9" width="7.21875" style="2" customWidth="1"/>
    <col min="10" max="10" width="8.33203125" style="1" customWidth="1"/>
    <col min="11" max="11" width="11.6640625" style="1" customWidth="1"/>
    <col min="12" max="12" width="4.6640625" style="1" customWidth="1"/>
    <col min="13" max="14" width="3.6640625" style="1" customWidth="1"/>
    <col min="15" max="26" width="8.6640625" style="1" customWidth="1"/>
    <col min="27" max="28" width="11.6640625" style="1" customWidth="1"/>
    <col min="29" max="16384" width="11.44140625" style="1"/>
  </cols>
  <sheetData>
    <row r="1" spans="1:42" ht="15" customHeight="1">
      <c r="A1" s="4"/>
      <c r="B1" s="4" t="s">
        <v>0</v>
      </c>
      <c r="C1" s="5"/>
      <c r="H1" s="6" t="s">
        <v>1</v>
      </c>
      <c r="I1" s="7" t="s">
        <v>2</v>
      </c>
      <c r="J1" s="7" t="s">
        <v>3</v>
      </c>
      <c r="K1" s="8" t="s">
        <v>4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</row>
    <row r="2" spans="1:42" ht="15" customHeight="1">
      <c r="A2" s="10"/>
      <c r="B2" s="11" t="s">
        <v>5</v>
      </c>
      <c r="C2" s="12"/>
      <c r="H2" s="13" t="s">
        <v>6</v>
      </c>
      <c r="I2" s="14">
        <v>20091</v>
      </c>
      <c r="J2" s="14">
        <v>151120</v>
      </c>
      <c r="K2" s="15">
        <v>46203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42" ht="15" customHeight="1">
      <c r="A3" s="10"/>
      <c r="B3" s="11"/>
      <c r="C3" s="12"/>
      <c r="H3" s="13"/>
      <c r="I3" s="14"/>
      <c r="J3" s="14" t="s">
        <v>7</v>
      </c>
      <c r="K3" s="16">
        <f>A!$K$115</f>
        <v>0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42" ht="15" customHeight="1">
      <c r="A4" s="17" t="s">
        <v>8</v>
      </c>
      <c r="B4" s="18"/>
      <c r="C4" s="19" t="s">
        <v>9</v>
      </c>
      <c r="D4" s="20"/>
      <c r="E4" s="10"/>
      <c r="F4" s="10"/>
      <c r="G4" s="21"/>
      <c r="H4" s="22"/>
      <c r="I4" s="23"/>
      <c r="K4" s="2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42" ht="15" customHeight="1">
      <c r="A5" s="17"/>
      <c r="B5" s="10"/>
      <c r="C5" s="10"/>
      <c r="G5" s="21"/>
      <c r="I5" s="25" t="s">
        <v>10</v>
      </c>
      <c r="K5" s="24"/>
      <c r="L5"/>
      <c r="M5"/>
      <c r="N5"/>
      <c r="O5"/>
      <c r="P5" t="s">
        <v>11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42" ht="15" customHeight="1">
      <c r="A6" s="17" t="s">
        <v>12</v>
      </c>
      <c r="B6" s="18"/>
      <c r="C6" s="19" t="s">
        <v>13</v>
      </c>
      <c r="D6" s="20"/>
      <c r="G6" s="26"/>
      <c r="H6" s="27"/>
      <c r="I6"/>
      <c r="K6" s="24"/>
      <c r="L6"/>
      <c r="M6"/>
      <c r="N6" s="9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</row>
    <row r="7" spans="1:42" ht="15" customHeight="1">
      <c r="A7" s="17"/>
      <c r="B7" s="10"/>
      <c r="C7" s="10"/>
      <c r="G7" s="28"/>
      <c r="H7" s="29"/>
      <c r="I7" s="29"/>
      <c r="J7" s="30"/>
      <c r="K7" s="24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</row>
    <row r="8" spans="1:42" ht="15" customHeight="1">
      <c r="A8" s="17" t="s">
        <v>14</v>
      </c>
      <c r="B8" s="31"/>
      <c r="C8" s="19" t="s">
        <v>13</v>
      </c>
      <c r="D8" s="32"/>
      <c r="G8" s="26"/>
      <c r="H8" s="33"/>
      <c r="I8" s="10"/>
      <c r="K8" s="24"/>
      <c r="L8"/>
      <c r="M8"/>
      <c r="N8"/>
      <c r="O8"/>
      <c r="P8" t="s">
        <v>15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</row>
    <row r="9" spans="1:42" ht="15" customHeight="1">
      <c r="A9"/>
      <c r="B9"/>
      <c r="C9"/>
      <c r="D9"/>
      <c r="E9" s="34"/>
      <c r="F9" s="34"/>
      <c r="G9" s="35"/>
      <c r="H9" s="36"/>
      <c r="I9" s="23"/>
      <c r="K9" s="24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</row>
    <row r="10" spans="1:42" s="41" customFormat="1" ht="20.25" customHeight="1">
      <c r="A10" s="37" t="s">
        <v>16</v>
      </c>
      <c r="B10" s="37" t="s">
        <v>17</v>
      </c>
      <c r="C10" s="37" t="s">
        <v>18</v>
      </c>
      <c r="D10" s="37" t="s">
        <v>19</v>
      </c>
      <c r="E10" s="38" t="s">
        <v>20</v>
      </c>
      <c r="F10" s="38" t="s">
        <v>21</v>
      </c>
      <c r="G10" s="39" t="s">
        <v>22</v>
      </c>
      <c r="H10" s="38" t="s">
        <v>23</v>
      </c>
      <c r="I10" s="40" t="s">
        <v>24</v>
      </c>
      <c r="J10" s="37" t="s">
        <v>25</v>
      </c>
      <c r="K10" s="37" t="s">
        <v>26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</row>
    <row r="11" spans="1:42" ht="15" customHeight="1">
      <c r="A11" s="42" t="s">
        <v>27</v>
      </c>
      <c r="B11" s="42" t="s">
        <v>27</v>
      </c>
      <c r="C11" s="2" t="s">
        <v>28</v>
      </c>
      <c r="D11" s="2" t="s">
        <v>28</v>
      </c>
      <c r="E11" s="43" t="s">
        <v>28</v>
      </c>
      <c r="F11" s="43"/>
      <c r="G11" s="44" t="s">
        <v>28</v>
      </c>
      <c r="H11" s="43" t="s">
        <v>28</v>
      </c>
      <c r="I11" s="45" t="s">
        <v>27</v>
      </c>
      <c r="J11" s="42" t="s">
        <v>27</v>
      </c>
      <c r="K11" s="42" t="s">
        <v>27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</row>
    <row r="12" spans="1:42" s="12" customFormat="1" ht="15" customHeight="1">
      <c r="A12" s="46"/>
      <c r="B12" s="47" t="s">
        <v>29</v>
      </c>
      <c r="C12" s="48" t="s">
        <v>30</v>
      </c>
      <c r="D12" s="49" t="s">
        <v>31</v>
      </c>
      <c r="E12" s="50"/>
      <c r="F12" s="50"/>
      <c r="G12" s="50"/>
      <c r="H12" s="50"/>
      <c r="I12" s="51"/>
      <c r="J12" s="52">
        <v>0</v>
      </c>
      <c r="K12" s="53">
        <f t="shared" ref="K12:K53" si="0">SUM(I12*J12)</f>
        <v>0</v>
      </c>
    </row>
    <row r="13" spans="1:42" s="12" customFormat="1" ht="15" customHeight="1">
      <c r="A13" s="46"/>
      <c r="B13" s="54" t="s">
        <v>32</v>
      </c>
      <c r="C13" s="48" t="s">
        <v>33</v>
      </c>
      <c r="D13" s="49" t="s">
        <v>34</v>
      </c>
      <c r="E13" s="50"/>
      <c r="F13" s="50"/>
      <c r="G13" s="50"/>
      <c r="H13" s="50"/>
      <c r="I13" s="51"/>
      <c r="J13" s="52">
        <v>1.57</v>
      </c>
      <c r="K13" s="53">
        <f t="shared" si="0"/>
        <v>0</v>
      </c>
    </row>
    <row r="14" spans="1:42" s="12" customFormat="1" ht="15" customHeight="1">
      <c r="A14" s="46"/>
      <c r="B14" s="54" t="s">
        <v>35</v>
      </c>
      <c r="C14" s="48" t="s">
        <v>30</v>
      </c>
      <c r="D14" s="49" t="s">
        <v>34</v>
      </c>
      <c r="E14" s="50"/>
      <c r="F14" s="50"/>
      <c r="G14" s="50"/>
      <c r="H14" s="50"/>
      <c r="I14" s="51"/>
      <c r="J14" s="52">
        <v>1.45</v>
      </c>
      <c r="K14" s="53">
        <f t="shared" si="0"/>
        <v>0</v>
      </c>
    </row>
    <row r="15" spans="1:42" s="12" customFormat="1" ht="15" customHeight="1">
      <c r="A15" s="46"/>
      <c r="B15" s="46" t="s">
        <v>36</v>
      </c>
      <c r="C15" s="48" t="s">
        <v>30</v>
      </c>
      <c r="D15" s="49" t="s">
        <v>34</v>
      </c>
      <c r="E15" s="50"/>
      <c r="F15" s="50"/>
      <c r="G15" s="50"/>
      <c r="H15" s="50"/>
      <c r="I15" s="51"/>
      <c r="J15" s="52">
        <v>0.93</v>
      </c>
      <c r="K15" s="53">
        <f t="shared" si="0"/>
        <v>0</v>
      </c>
    </row>
    <row r="16" spans="1:42" s="12" customFormat="1" ht="15" customHeight="1">
      <c r="A16" s="46"/>
      <c r="B16" s="46" t="s">
        <v>36</v>
      </c>
      <c r="C16" s="48" t="s">
        <v>30</v>
      </c>
      <c r="D16" s="49" t="s">
        <v>37</v>
      </c>
      <c r="E16" s="50"/>
      <c r="F16" s="50"/>
      <c r="G16" s="50"/>
      <c r="H16" s="50"/>
      <c r="I16" s="51"/>
      <c r="J16" s="52">
        <v>1.08</v>
      </c>
      <c r="K16" s="53">
        <f t="shared" si="0"/>
        <v>0</v>
      </c>
    </row>
    <row r="17" spans="1:11" s="12" customFormat="1" ht="15" customHeight="1">
      <c r="A17" s="46" t="s">
        <v>15</v>
      </c>
      <c r="B17" s="46" t="s">
        <v>38</v>
      </c>
      <c r="C17" s="48" t="s">
        <v>30</v>
      </c>
      <c r="D17" s="49" t="s">
        <v>34</v>
      </c>
      <c r="E17" s="50"/>
      <c r="F17" s="50"/>
      <c r="G17" s="50"/>
      <c r="H17" s="50"/>
      <c r="I17" s="51"/>
      <c r="J17" s="52">
        <v>0.93</v>
      </c>
      <c r="K17" s="53">
        <f t="shared" si="0"/>
        <v>0</v>
      </c>
    </row>
    <row r="18" spans="1:11" s="12" customFormat="1" ht="15" customHeight="1">
      <c r="A18" s="46"/>
      <c r="B18" s="46" t="s">
        <v>38</v>
      </c>
      <c r="C18" s="48" t="s">
        <v>30</v>
      </c>
      <c r="D18" s="49" t="s">
        <v>37</v>
      </c>
      <c r="E18" s="50"/>
      <c r="F18" s="50"/>
      <c r="G18" s="50"/>
      <c r="H18" s="50"/>
      <c r="I18" s="51"/>
      <c r="J18" s="52">
        <v>1.08</v>
      </c>
      <c r="K18" s="53">
        <f t="shared" si="0"/>
        <v>0</v>
      </c>
    </row>
    <row r="19" spans="1:11" s="12" customFormat="1" ht="15" customHeight="1">
      <c r="A19" s="46"/>
      <c r="B19" s="46" t="s">
        <v>39</v>
      </c>
      <c r="C19" s="48" t="s">
        <v>30</v>
      </c>
      <c r="D19" s="49" t="s">
        <v>34</v>
      </c>
      <c r="E19" s="50"/>
      <c r="F19" s="50"/>
      <c r="G19" s="50"/>
      <c r="H19" s="50"/>
      <c r="I19" s="51"/>
      <c r="J19" s="52">
        <v>1.85</v>
      </c>
      <c r="K19" s="53">
        <f t="shared" si="0"/>
        <v>0</v>
      </c>
    </row>
    <row r="20" spans="1:11" s="12" customFormat="1" ht="15" customHeight="1">
      <c r="A20" s="46"/>
      <c r="B20" s="46" t="s">
        <v>40</v>
      </c>
      <c r="C20" s="48" t="s">
        <v>33</v>
      </c>
      <c r="D20" s="49" t="s">
        <v>34</v>
      </c>
      <c r="E20" s="50"/>
      <c r="F20" s="50"/>
      <c r="G20" s="50"/>
      <c r="H20" s="50"/>
      <c r="I20" s="51"/>
      <c r="J20" s="52">
        <v>1.87</v>
      </c>
      <c r="K20" s="53">
        <f t="shared" si="0"/>
        <v>0</v>
      </c>
    </row>
    <row r="21" spans="1:11" s="12" customFormat="1" ht="15" customHeight="1">
      <c r="A21" s="46"/>
      <c r="B21" s="54" t="s">
        <v>41</v>
      </c>
      <c r="C21" s="48" t="s">
        <v>30</v>
      </c>
      <c r="D21" s="49" t="s">
        <v>42</v>
      </c>
      <c r="E21" s="50"/>
      <c r="F21" s="50"/>
      <c r="G21" s="50"/>
      <c r="H21" s="50"/>
      <c r="I21" s="51"/>
      <c r="J21" s="52">
        <v>1.04</v>
      </c>
      <c r="K21" s="53">
        <f t="shared" si="0"/>
        <v>0</v>
      </c>
    </row>
    <row r="22" spans="1:11" s="12" customFormat="1" ht="15" customHeight="1">
      <c r="A22" s="46" t="s">
        <v>15</v>
      </c>
      <c r="B22" s="54" t="s">
        <v>43</v>
      </c>
      <c r="C22" s="48" t="s">
        <v>30</v>
      </c>
      <c r="D22" s="49" t="s">
        <v>34</v>
      </c>
      <c r="E22" s="50"/>
      <c r="F22" s="50"/>
      <c r="G22" s="50"/>
      <c r="H22" s="50"/>
      <c r="I22" s="51"/>
      <c r="J22" s="52">
        <v>1.06</v>
      </c>
      <c r="K22" s="53">
        <f t="shared" si="0"/>
        <v>0</v>
      </c>
    </row>
    <row r="23" spans="1:11" s="12" customFormat="1" ht="15" customHeight="1">
      <c r="A23" s="46"/>
      <c r="B23" s="54" t="s">
        <v>43</v>
      </c>
      <c r="C23" s="48" t="s">
        <v>30</v>
      </c>
      <c r="D23" s="49" t="s">
        <v>42</v>
      </c>
      <c r="E23" s="50"/>
      <c r="F23" s="50"/>
      <c r="G23" s="50"/>
      <c r="H23" s="50"/>
      <c r="I23" s="51"/>
      <c r="J23" s="52">
        <v>1.0900000000000001</v>
      </c>
      <c r="K23" s="53">
        <f t="shared" si="0"/>
        <v>0</v>
      </c>
    </row>
    <row r="24" spans="1:11" s="12" customFormat="1" ht="15" customHeight="1">
      <c r="A24" s="46"/>
      <c r="B24" s="54" t="s">
        <v>44</v>
      </c>
      <c r="C24" s="48" t="s">
        <v>30</v>
      </c>
      <c r="D24" s="49" t="s">
        <v>34</v>
      </c>
      <c r="E24" s="50"/>
      <c r="F24" s="50"/>
      <c r="G24" s="50"/>
      <c r="H24" s="50"/>
      <c r="I24" s="51"/>
      <c r="J24" s="52">
        <v>1.44</v>
      </c>
      <c r="K24" s="53">
        <f t="shared" si="0"/>
        <v>0</v>
      </c>
    </row>
    <row r="25" spans="1:11" s="12" customFormat="1" ht="15" customHeight="1">
      <c r="A25" s="46"/>
      <c r="B25" s="46" t="s">
        <v>45</v>
      </c>
      <c r="C25" s="48" t="s">
        <v>30</v>
      </c>
      <c r="D25" s="49" t="s">
        <v>34</v>
      </c>
      <c r="E25" s="50"/>
      <c r="F25" s="50"/>
      <c r="G25" s="50"/>
      <c r="H25" s="50"/>
      <c r="I25" s="51"/>
      <c r="J25" s="52">
        <v>1.44</v>
      </c>
      <c r="K25" s="53">
        <f t="shared" si="0"/>
        <v>0</v>
      </c>
    </row>
    <row r="26" spans="1:11" s="12" customFormat="1" ht="15" customHeight="1">
      <c r="A26" s="46"/>
      <c r="B26" s="46" t="s">
        <v>46</v>
      </c>
      <c r="C26" s="48" t="s">
        <v>33</v>
      </c>
      <c r="D26" s="49" t="s">
        <v>34</v>
      </c>
      <c r="E26" s="50"/>
      <c r="F26" s="50"/>
      <c r="G26" s="50"/>
      <c r="H26" s="50"/>
      <c r="I26" s="51"/>
      <c r="J26" s="52">
        <v>2.2599999999999998</v>
      </c>
      <c r="K26" s="53">
        <f t="shared" si="0"/>
        <v>0</v>
      </c>
    </row>
    <row r="27" spans="1:11" s="12" customFormat="1" ht="15" customHeight="1">
      <c r="A27" s="46"/>
      <c r="B27" s="54" t="s">
        <v>47</v>
      </c>
      <c r="C27" s="48" t="s">
        <v>30</v>
      </c>
      <c r="D27" s="49" t="s">
        <v>34</v>
      </c>
      <c r="E27" s="50"/>
      <c r="F27" s="50"/>
      <c r="G27" s="50"/>
      <c r="H27" s="50"/>
      <c r="I27" s="51"/>
      <c r="J27" s="52">
        <v>1.61</v>
      </c>
      <c r="K27" s="53">
        <f t="shared" si="0"/>
        <v>0</v>
      </c>
    </row>
    <row r="28" spans="1:11" s="12" customFormat="1" ht="15" customHeight="1">
      <c r="A28" s="46"/>
      <c r="B28" s="46" t="s">
        <v>48</v>
      </c>
      <c r="C28" s="48" t="s">
        <v>30</v>
      </c>
      <c r="D28" s="49" t="s">
        <v>34</v>
      </c>
      <c r="E28" s="50"/>
      <c r="F28" s="50"/>
      <c r="G28" s="50"/>
      <c r="H28" s="50"/>
      <c r="I28" s="51"/>
      <c r="J28" s="52">
        <v>1.35</v>
      </c>
      <c r="K28" s="53">
        <f t="shared" si="0"/>
        <v>0</v>
      </c>
    </row>
    <row r="29" spans="1:11" s="12" customFormat="1" ht="15" customHeight="1">
      <c r="A29" s="46"/>
      <c r="B29" s="54" t="s">
        <v>49</v>
      </c>
      <c r="C29" s="48" t="s">
        <v>30</v>
      </c>
      <c r="D29" s="49" t="s">
        <v>34</v>
      </c>
      <c r="E29" s="50"/>
      <c r="F29" s="50"/>
      <c r="G29" s="50"/>
      <c r="H29" s="50"/>
      <c r="I29" s="51"/>
      <c r="J29" s="52">
        <v>1.56</v>
      </c>
      <c r="K29" s="53">
        <f t="shared" si="0"/>
        <v>0</v>
      </c>
    </row>
    <row r="30" spans="1:11" s="12" customFormat="1" ht="15" customHeight="1">
      <c r="A30" s="46"/>
      <c r="B30" s="46" t="s">
        <v>50</v>
      </c>
      <c r="C30" s="48" t="s">
        <v>30</v>
      </c>
      <c r="D30" s="49" t="s">
        <v>34</v>
      </c>
      <c r="E30" s="50"/>
      <c r="F30" s="50"/>
      <c r="G30" s="50"/>
      <c r="H30" s="50"/>
      <c r="I30" s="51"/>
      <c r="J30" s="52">
        <v>1.1499999999999999</v>
      </c>
      <c r="K30" s="53">
        <f t="shared" si="0"/>
        <v>0</v>
      </c>
    </row>
    <row r="31" spans="1:11" s="12" customFormat="1" ht="15" customHeight="1">
      <c r="A31" s="46"/>
      <c r="B31" s="46" t="s">
        <v>51</v>
      </c>
      <c r="C31" s="48" t="s">
        <v>30</v>
      </c>
      <c r="D31" s="49" t="s">
        <v>34</v>
      </c>
      <c r="E31" s="50"/>
      <c r="F31" s="50"/>
      <c r="G31" s="50"/>
      <c r="H31" s="50"/>
      <c r="I31" s="51"/>
      <c r="J31" s="52">
        <v>1.49</v>
      </c>
      <c r="K31" s="53">
        <f t="shared" si="0"/>
        <v>0</v>
      </c>
    </row>
    <row r="32" spans="1:11" s="12" customFormat="1" ht="15" customHeight="1">
      <c r="A32" s="46"/>
      <c r="B32" s="46" t="s">
        <v>52</v>
      </c>
      <c r="C32" s="48" t="s">
        <v>30</v>
      </c>
      <c r="D32" s="49" t="s">
        <v>34</v>
      </c>
      <c r="E32" s="50"/>
      <c r="F32" s="50"/>
      <c r="G32" s="50"/>
      <c r="H32" s="50"/>
      <c r="I32" s="51"/>
      <c r="J32" s="52">
        <v>1.07</v>
      </c>
      <c r="K32" s="53">
        <f t="shared" si="0"/>
        <v>0</v>
      </c>
    </row>
    <row r="33" spans="1:11" s="12" customFormat="1" ht="15" customHeight="1">
      <c r="A33" s="46"/>
      <c r="B33" s="54" t="s">
        <v>53</v>
      </c>
      <c r="C33" s="48" t="s">
        <v>30</v>
      </c>
      <c r="D33" s="49" t="s">
        <v>37</v>
      </c>
      <c r="E33" s="50"/>
      <c r="F33" s="50"/>
      <c r="G33" s="50"/>
      <c r="H33" s="50"/>
      <c r="I33" s="51"/>
      <c r="J33" s="52">
        <v>1.29</v>
      </c>
      <c r="K33" s="53">
        <f t="shared" si="0"/>
        <v>0</v>
      </c>
    </row>
    <row r="34" spans="1:11" s="12" customFormat="1" ht="15" customHeight="1">
      <c r="A34" s="46"/>
      <c r="B34" s="46" t="s">
        <v>54</v>
      </c>
      <c r="C34" s="48" t="s">
        <v>30</v>
      </c>
      <c r="D34" s="49" t="s">
        <v>34</v>
      </c>
      <c r="E34" s="50"/>
      <c r="F34" s="50"/>
      <c r="G34" s="50"/>
      <c r="H34" s="50"/>
      <c r="I34" s="51"/>
      <c r="J34" s="52">
        <v>1.59</v>
      </c>
      <c r="K34" s="53">
        <f t="shared" si="0"/>
        <v>0</v>
      </c>
    </row>
    <row r="35" spans="1:11" s="12" customFormat="1" ht="15" customHeight="1">
      <c r="A35" s="46"/>
      <c r="B35" s="54" t="s">
        <v>55</v>
      </c>
      <c r="C35" s="48" t="s">
        <v>30</v>
      </c>
      <c r="D35" s="49" t="s">
        <v>34</v>
      </c>
      <c r="E35" s="50"/>
      <c r="F35" s="50"/>
      <c r="G35" s="50"/>
      <c r="H35" s="50"/>
      <c r="I35" s="51"/>
      <c r="J35" s="52">
        <v>1</v>
      </c>
      <c r="K35" s="53">
        <f t="shared" si="0"/>
        <v>0</v>
      </c>
    </row>
    <row r="36" spans="1:11" s="12" customFormat="1" ht="15" customHeight="1">
      <c r="A36" s="46"/>
      <c r="B36" s="46" t="s">
        <v>56</v>
      </c>
      <c r="C36" s="48" t="s">
        <v>30</v>
      </c>
      <c r="D36" s="49" t="s">
        <v>34</v>
      </c>
      <c r="E36" s="50"/>
      <c r="F36" s="50"/>
      <c r="G36" s="50"/>
      <c r="H36" s="50"/>
      <c r="I36" s="51"/>
      <c r="J36" s="52">
        <v>0.98</v>
      </c>
      <c r="K36" s="53">
        <f t="shared" si="0"/>
        <v>0</v>
      </c>
    </row>
    <row r="37" spans="1:11" s="12" customFormat="1" ht="15" customHeight="1">
      <c r="A37" s="46"/>
      <c r="B37" s="54" t="s">
        <v>57</v>
      </c>
      <c r="C37" s="48" t="s">
        <v>30</v>
      </c>
      <c r="D37" s="49" t="s">
        <v>34</v>
      </c>
      <c r="E37" s="50"/>
      <c r="F37" s="50"/>
      <c r="G37" s="50"/>
      <c r="H37" s="50"/>
      <c r="I37" s="51"/>
      <c r="J37" s="52">
        <v>1.44</v>
      </c>
      <c r="K37" s="53">
        <f t="shared" si="0"/>
        <v>0</v>
      </c>
    </row>
    <row r="38" spans="1:11" s="12" customFormat="1" ht="15" customHeight="1">
      <c r="A38" s="46"/>
      <c r="B38" s="46" t="s">
        <v>58</v>
      </c>
      <c r="C38" s="48" t="s">
        <v>30</v>
      </c>
      <c r="D38" s="49" t="s">
        <v>34</v>
      </c>
      <c r="E38" s="50"/>
      <c r="F38" s="50"/>
      <c r="G38" s="50"/>
      <c r="H38" s="50"/>
      <c r="I38" s="51"/>
      <c r="J38" s="52">
        <v>0.94</v>
      </c>
      <c r="K38" s="53">
        <f t="shared" si="0"/>
        <v>0</v>
      </c>
    </row>
    <row r="39" spans="1:11" s="12" customFormat="1" ht="15" customHeight="1">
      <c r="A39" s="46"/>
      <c r="B39" s="46" t="s">
        <v>59</v>
      </c>
      <c r="C39" s="48" t="s">
        <v>30</v>
      </c>
      <c r="D39" s="49" t="s">
        <v>34</v>
      </c>
      <c r="E39" s="50"/>
      <c r="F39" s="50"/>
      <c r="G39" s="50"/>
      <c r="H39" s="50"/>
      <c r="I39" s="51"/>
      <c r="J39" s="52">
        <v>1.44</v>
      </c>
      <c r="K39" s="53">
        <f t="shared" si="0"/>
        <v>0</v>
      </c>
    </row>
    <row r="40" spans="1:11" s="12" customFormat="1" ht="15" customHeight="1">
      <c r="A40" s="46"/>
      <c r="B40" s="54" t="s">
        <v>60</v>
      </c>
      <c r="C40" s="48" t="s">
        <v>30</v>
      </c>
      <c r="D40" s="49" t="s">
        <v>34</v>
      </c>
      <c r="E40" s="50"/>
      <c r="F40" s="50"/>
      <c r="G40" s="50"/>
      <c r="H40" s="50"/>
      <c r="I40" s="51"/>
      <c r="J40" s="52">
        <v>1.95</v>
      </c>
      <c r="K40" s="53">
        <f t="shared" si="0"/>
        <v>0</v>
      </c>
    </row>
    <row r="41" spans="1:11" s="12" customFormat="1" ht="15" customHeight="1">
      <c r="A41" s="46"/>
      <c r="B41" s="46" t="s">
        <v>61</v>
      </c>
      <c r="C41" s="48" t="s">
        <v>30</v>
      </c>
      <c r="D41" s="49" t="s">
        <v>34</v>
      </c>
      <c r="E41" s="50"/>
      <c r="F41" s="50"/>
      <c r="G41" s="50"/>
      <c r="H41" s="50"/>
      <c r="I41" s="51"/>
      <c r="J41" s="52">
        <v>1.37</v>
      </c>
      <c r="K41" s="53">
        <f t="shared" si="0"/>
        <v>0</v>
      </c>
    </row>
    <row r="42" spans="1:11" s="12" customFormat="1" ht="15" customHeight="1">
      <c r="A42" s="46"/>
      <c r="B42" s="46" t="s">
        <v>62</v>
      </c>
      <c r="C42" s="48" t="s">
        <v>30</v>
      </c>
      <c r="D42" s="49" t="s">
        <v>34</v>
      </c>
      <c r="E42" s="50"/>
      <c r="F42" s="50"/>
      <c r="G42" s="50"/>
      <c r="H42" s="50"/>
      <c r="I42" s="51"/>
      <c r="J42" s="52">
        <v>1.49</v>
      </c>
      <c r="K42" s="53">
        <f t="shared" si="0"/>
        <v>0</v>
      </c>
    </row>
    <row r="43" spans="1:11" s="12" customFormat="1" ht="15" customHeight="1">
      <c r="A43" s="46"/>
      <c r="B43" s="46" t="s">
        <v>63</v>
      </c>
      <c r="C43" s="48" t="s">
        <v>30</v>
      </c>
      <c r="D43" s="49" t="s">
        <v>64</v>
      </c>
      <c r="E43" s="50"/>
      <c r="F43" s="50"/>
      <c r="G43" s="50"/>
      <c r="H43" s="50"/>
      <c r="I43" s="51"/>
      <c r="J43" s="52">
        <v>1.2</v>
      </c>
      <c r="K43" s="53">
        <f t="shared" si="0"/>
        <v>0</v>
      </c>
    </row>
    <row r="44" spans="1:11" s="12" customFormat="1" ht="15" customHeight="1">
      <c r="A44" s="46"/>
      <c r="B44" s="46" t="s">
        <v>65</v>
      </c>
      <c r="C44" s="48" t="s">
        <v>30</v>
      </c>
      <c r="D44" s="49" t="s">
        <v>34</v>
      </c>
      <c r="E44" s="50"/>
      <c r="F44" s="50"/>
      <c r="G44" s="50"/>
      <c r="H44" s="50"/>
      <c r="I44" s="51"/>
      <c r="J44" s="52">
        <v>1.2</v>
      </c>
      <c r="K44" s="53">
        <f t="shared" si="0"/>
        <v>0</v>
      </c>
    </row>
    <row r="45" spans="1:11" s="12" customFormat="1" ht="15" customHeight="1">
      <c r="A45" s="46"/>
      <c r="B45" s="46" t="s">
        <v>66</v>
      </c>
      <c r="C45" s="48" t="s">
        <v>30</v>
      </c>
      <c r="D45" s="49" t="s">
        <v>34</v>
      </c>
      <c r="E45" s="50"/>
      <c r="F45" s="50"/>
      <c r="G45" s="50"/>
      <c r="H45" s="50"/>
      <c r="I45" s="51"/>
      <c r="J45" s="52">
        <v>1.38</v>
      </c>
      <c r="K45" s="53">
        <f t="shared" si="0"/>
        <v>0</v>
      </c>
    </row>
    <row r="46" spans="1:11" s="12" customFormat="1" ht="15" customHeight="1">
      <c r="A46" s="46"/>
      <c r="B46" s="54" t="s">
        <v>67</v>
      </c>
      <c r="C46" s="48" t="s">
        <v>30</v>
      </c>
      <c r="D46" s="49" t="s">
        <v>34</v>
      </c>
      <c r="E46" s="50"/>
      <c r="F46" s="50"/>
      <c r="G46" s="50"/>
      <c r="H46" s="50"/>
      <c r="I46" s="51"/>
      <c r="J46" s="52">
        <v>2.13</v>
      </c>
      <c r="K46" s="53">
        <f t="shared" si="0"/>
        <v>0</v>
      </c>
    </row>
    <row r="47" spans="1:11" s="12" customFormat="1" ht="15" customHeight="1">
      <c r="A47" s="46"/>
      <c r="B47" s="46" t="s">
        <v>68</v>
      </c>
      <c r="C47" s="48" t="s">
        <v>33</v>
      </c>
      <c r="D47" s="49" t="s">
        <v>34</v>
      </c>
      <c r="E47" s="50"/>
      <c r="F47" s="50"/>
      <c r="G47" s="50"/>
      <c r="H47" s="50"/>
      <c r="I47" s="51"/>
      <c r="J47" s="52">
        <v>1.95</v>
      </c>
      <c r="K47" s="53">
        <f t="shared" si="0"/>
        <v>0</v>
      </c>
    </row>
    <row r="48" spans="1:11" s="12" customFormat="1" ht="15" customHeight="1">
      <c r="A48" s="46"/>
      <c r="B48" s="46" t="s">
        <v>69</v>
      </c>
      <c r="C48" s="48" t="s">
        <v>33</v>
      </c>
      <c r="D48" s="49" t="s">
        <v>34</v>
      </c>
      <c r="E48" s="50"/>
      <c r="F48" s="50"/>
      <c r="G48" s="1"/>
      <c r="H48" s="50"/>
      <c r="I48" s="51"/>
      <c r="J48" s="52">
        <v>1.9</v>
      </c>
      <c r="K48" s="53">
        <f t="shared" si="0"/>
        <v>0</v>
      </c>
    </row>
    <row r="49" spans="1:11" s="12" customFormat="1" ht="15" customHeight="1">
      <c r="A49" s="46"/>
      <c r="B49" s="54" t="s">
        <v>70</v>
      </c>
      <c r="C49" s="48" t="s">
        <v>33</v>
      </c>
      <c r="D49" s="49" t="s">
        <v>34</v>
      </c>
      <c r="E49" s="50"/>
      <c r="F49" s="50"/>
      <c r="G49" s="50"/>
      <c r="H49" s="50"/>
      <c r="I49" s="51"/>
      <c r="J49" s="52">
        <v>1.65</v>
      </c>
      <c r="K49" s="53">
        <f t="shared" si="0"/>
        <v>0</v>
      </c>
    </row>
    <row r="50" spans="1:11" s="12" customFormat="1" ht="15" customHeight="1">
      <c r="A50" s="46"/>
      <c r="B50" s="46" t="s">
        <v>71</v>
      </c>
      <c r="C50" s="48" t="s">
        <v>33</v>
      </c>
      <c r="D50" s="49" t="s">
        <v>34</v>
      </c>
      <c r="E50" s="50"/>
      <c r="F50" s="50"/>
      <c r="G50" s="50"/>
      <c r="H50" s="50"/>
      <c r="I50" s="51"/>
      <c r="J50" s="52">
        <v>1.56</v>
      </c>
      <c r="K50" s="53">
        <f t="shared" si="0"/>
        <v>0</v>
      </c>
    </row>
    <row r="51" spans="1:11" s="12" customFormat="1" ht="15" customHeight="1">
      <c r="A51" s="46"/>
      <c r="B51" s="54" t="s">
        <v>72</v>
      </c>
      <c r="C51" s="48" t="s">
        <v>33</v>
      </c>
      <c r="D51" s="49" t="s">
        <v>34</v>
      </c>
      <c r="E51" s="50"/>
      <c r="F51" s="50"/>
      <c r="G51" s="50"/>
      <c r="H51" s="50"/>
      <c r="I51" s="51"/>
      <c r="J51" s="52">
        <v>1.56</v>
      </c>
      <c r="K51" s="53">
        <f t="shared" si="0"/>
        <v>0</v>
      </c>
    </row>
    <row r="52" spans="1:11" s="12" customFormat="1" ht="15" customHeight="1">
      <c r="A52" s="46"/>
      <c r="B52" s="46" t="s">
        <v>73</v>
      </c>
      <c r="C52" s="48" t="s">
        <v>30</v>
      </c>
      <c r="D52" s="49" t="s">
        <v>74</v>
      </c>
      <c r="E52" s="50"/>
      <c r="F52" s="50"/>
      <c r="G52" s="50"/>
      <c r="H52" s="50"/>
      <c r="I52" s="51"/>
      <c r="J52" s="72">
        <v>1.19</v>
      </c>
      <c r="K52" s="53">
        <f t="shared" si="0"/>
        <v>0</v>
      </c>
    </row>
    <row r="53" spans="1:11" s="12" customFormat="1" ht="15" customHeight="1">
      <c r="A53" s="46"/>
      <c r="B53" s="46" t="s">
        <v>75</v>
      </c>
      <c r="C53" s="48" t="s">
        <v>30</v>
      </c>
      <c r="D53" s="49" t="s">
        <v>34</v>
      </c>
      <c r="E53" s="50"/>
      <c r="F53" s="50"/>
      <c r="G53" s="50"/>
      <c r="H53" s="50"/>
      <c r="I53" s="51"/>
      <c r="J53" s="72">
        <v>1.19</v>
      </c>
      <c r="K53" s="53">
        <f t="shared" si="0"/>
        <v>0</v>
      </c>
    </row>
    <row r="54" spans="1:11" s="12" customFormat="1" ht="15" customHeight="1">
      <c r="A54" s="55"/>
      <c r="B54" s="55"/>
      <c r="C54" s="56"/>
      <c r="D54" s="57"/>
      <c r="E54" s="58"/>
      <c r="F54" s="58"/>
      <c r="G54" s="58"/>
      <c r="H54" s="58"/>
      <c r="I54" s="58"/>
      <c r="J54" s="59"/>
      <c r="K54" s="59"/>
    </row>
    <row r="55" spans="1:11" s="12" customFormat="1" ht="15" customHeight="1">
      <c r="A55" s="46"/>
      <c r="B55" s="46" t="s">
        <v>76</v>
      </c>
      <c r="C55" s="48" t="s">
        <v>77</v>
      </c>
      <c r="D55" s="49" t="s">
        <v>64</v>
      </c>
      <c r="E55" s="50"/>
      <c r="F55" s="50"/>
      <c r="G55" s="50"/>
      <c r="H55" s="50"/>
      <c r="I55" s="51"/>
      <c r="J55" s="52">
        <v>0.99</v>
      </c>
      <c r="K55" s="53">
        <f t="shared" ref="K55:K64" si="1">SUM(I55*J55)</f>
        <v>0</v>
      </c>
    </row>
    <row r="56" spans="1:11" s="12" customFormat="1" ht="15" customHeight="1">
      <c r="A56" s="46"/>
      <c r="B56" s="46" t="s">
        <v>78</v>
      </c>
      <c r="C56" s="48" t="s">
        <v>77</v>
      </c>
      <c r="D56" s="49" t="s">
        <v>64</v>
      </c>
      <c r="E56" s="50"/>
      <c r="F56" s="50"/>
      <c r="G56" s="50"/>
      <c r="H56" s="50"/>
      <c r="I56" s="51"/>
      <c r="J56" s="52">
        <v>0.99</v>
      </c>
      <c r="K56" s="53">
        <f t="shared" si="1"/>
        <v>0</v>
      </c>
    </row>
    <row r="57" spans="1:11" s="12" customFormat="1" ht="15" customHeight="1">
      <c r="A57" s="46"/>
      <c r="B57" s="46" t="s">
        <v>79</v>
      </c>
      <c r="C57" s="48" t="s">
        <v>77</v>
      </c>
      <c r="D57" s="49" t="s">
        <v>34</v>
      </c>
      <c r="E57" s="50"/>
      <c r="F57" s="50"/>
      <c r="G57" s="50"/>
      <c r="H57" s="50"/>
      <c r="I57" s="51"/>
      <c r="J57" s="52">
        <v>0.53</v>
      </c>
      <c r="K57" s="53">
        <f t="shared" si="1"/>
        <v>0</v>
      </c>
    </row>
    <row r="58" spans="1:11" s="12" customFormat="1" ht="15" customHeight="1">
      <c r="A58" s="46"/>
      <c r="B58" s="46" t="s">
        <v>80</v>
      </c>
      <c r="C58" s="48" t="s">
        <v>77</v>
      </c>
      <c r="D58" s="49" t="s">
        <v>64</v>
      </c>
      <c r="E58" s="50"/>
      <c r="F58" s="50"/>
      <c r="G58" s="50"/>
      <c r="H58" s="50"/>
      <c r="I58" s="51"/>
      <c r="J58" s="52">
        <v>1.01</v>
      </c>
      <c r="K58" s="53">
        <f t="shared" si="1"/>
        <v>0</v>
      </c>
    </row>
    <row r="59" spans="1:11" s="12" customFormat="1" ht="15" customHeight="1">
      <c r="A59" s="46"/>
      <c r="B59" s="46" t="s">
        <v>81</v>
      </c>
      <c r="C59" s="48" t="s">
        <v>77</v>
      </c>
      <c r="D59" s="49" t="s">
        <v>64</v>
      </c>
      <c r="E59" s="50"/>
      <c r="F59" s="50"/>
      <c r="G59" s="50"/>
      <c r="H59" s="50"/>
      <c r="I59" s="51"/>
      <c r="J59" s="52">
        <v>6.35</v>
      </c>
      <c r="K59" s="53">
        <f t="shared" si="1"/>
        <v>0</v>
      </c>
    </row>
    <row r="60" spans="1:11" s="12" customFormat="1" ht="15" customHeight="1">
      <c r="A60" s="46"/>
      <c r="B60" s="46" t="s">
        <v>82</v>
      </c>
      <c r="C60" s="48" t="s">
        <v>77</v>
      </c>
      <c r="D60" s="49" t="s">
        <v>64</v>
      </c>
      <c r="E60" s="50"/>
      <c r="F60" s="50"/>
      <c r="G60" s="50"/>
      <c r="H60" s="50"/>
      <c r="I60" s="51"/>
      <c r="J60" s="52">
        <v>0.91</v>
      </c>
      <c r="K60" s="53">
        <f t="shared" si="1"/>
        <v>0</v>
      </c>
    </row>
    <row r="61" spans="1:11" s="12" customFormat="1" ht="15" customHeight="1">
      <c r="A61" s="46"/>
      <c r="B61" s="46" t="s">
        <v>83</v>
      </c>
      <c r="C61" s="48" t="s">
        <v>77</v>
      </c>
      <c r="D61" s="49" t="s">
        <v>64</v>
      </c>
      <c r="E61" s="50"/>
      <c r="F61" s="50"/>
      <c r="G61" s="50"/>
      <c r="H61" s="50"/>
      <c r="I61" s="51"/>
      <c r="J61" s="52">
        <v>1.01</v>
      </c>
      <c r="K61" s="53">
        <f t="shared" si="1"/>
        <v>0</v>
      </c>
    </row>
    <row r="62" spans="1:11" s="12" customFormat="1" ht="15" customHeight="1">
      <c r="A62" s="46"/>
      <c r="B62" s="46" t="s">
        <v>84</v>
      </c>
      <c r="C62" s="48" t="s">
        <v>77</v>
      </c>
      <c r="D62" s="49" t="s">
        <v>64</v>
      </c>
      <c r="E62" s="50"/>
      <c r="F62" s="50"/>
      <c r="G62" s="50"/>
      <c r="H62" s="50"/>
      <c r="I62" s="51"/>
      <c r="J62" s="52">
        <v>5.63</v>
      </c>
      <c r="K62" s="53">
        <f t="shared" si="1"/>
        <v>0</v>
      </c>
    </row>
    <row r="63" spans="1:11" s="12" customFormat="1" ht="15" customHeight="1">
      <c r="A63" s="46"/>
      <c r="B63" s="46" t="s">
        <v>85</v>
      </c>
      <c r="C63" s="48" t="s">
        <v>77</v>
      </c>
      <c r="D63" s="49" t="s">
        <v>64</v>
      </c>
      <c r="E63" s="50"/>
      <c r="F63" s="50"/>
      <c r="G63" s="50"/>
      <c r="H63" s="50"/>
      <c r="I63" s="51"/>
      <c r="J63" s="52">
        <v>5.48</v>
      </c>
      <c r="K63" s="53">
        <f t="shared" si="1"/>
        <v>0</v>
      </c>
    </row>
    <row r="64" spans="1:11" s="12" customFormat="1" ht="15" customHeight="1">
      <c r="A64" s="46"/>
      <c r="B64" s="46" t="s">
        <v>86</v>
      </c>
      <c r="C64" s="48" t="s">
        <v>77</v>
      </c>
      <c r="D64" s="49" t="s">
        <v>64</v>
      </c>
      <c r="E64" s="50"/>
      <c r="F64" s="50"/>
      <c r="G64" s="50"/>
      <c r="H64" s="50"/>
      <c r="I64" s="51"/>
      <c r="J64" s="60">
        <v>4.6399999999999997</v>
      </c>
      <c r="K64" s="61">
        <f t="shared" si="1"/>
        <v>0</v>
      </c>
    </row>
    <row r="65" spans="1:42" s="12" customFormat="1" ht="15" customHeight="1">
      <c r="A65" s="55"/>
      <c r="B65" s="55"/>
      <c r="C65" s="56"/>
      <c r="D65" s="57"/>
      <c r="E65" s="58"/>
      <c r="F65" s="58"/>
      <c r="G65" s="58"/>
      <c r="H65" s="58"/>
      <c r="I65" s="58"/>
      <c r="J65" s="59"/>
      <c r="K65" s="59"/>
    </row>
    <row r="66" spans="1:42" s="12" customFormat="1" ht="15" customHeight="1">
      <c r="A66" s="62"/>
      <c r="B66" s="46" t="s">
        <v>87</v>
      </c>
      <c r="C66" s="48" t="s">
        <v>88</v>
      </c>
      <c r="D66" s="49" t="s">
        <v>89</v>
      </c>
      <c r="E66" s="50"/>
      <c r="F66" s="50"/>
      <c r="G66" s="50"/>
      <c r="H66" s="50"/>
      <c r="I66" s="51"/>
      <c r="J66" s="52">
        <v>1.36</v>
      </c>
      <c r="K66" s="53">
        <f t="shared" ref="K66:K73" si="2">SUM(I66*J66)</f>
        <v>0</v>
      </c>
    </row>
    <row r="67" spans="1:42" s="12" customFormat="1" ht="15" customHeight="1">
      <c r="A67" s="62"/>
      <c r="B67" s="46" t="s">
        <v>90</v>
      </c>
      <c r="C67" s="48" t="s">
        <v>88</v>
      </c>
      <c r="D67" s="49" t="s">
        <v>89</v>
      </c>
      <c r="E67" s="50"/>
      <c r="F67" s="50"/>
      <c r="G67" s="50"/>
      <c r="H67" s="50"/>
      <c r="I67" s="51"/>
      <c r="J67" s="52">
        <v>1.29</v>
      </c>
      <c r="K67" s="53">
        <f t="shared" si="2"/>
        <v>0</v>
      </c>
    </row>
    <row r="68" spans="1:42" s="12" customFormat="1" ht="15" customHeight="1">
      <c r="A68" s="62"/>
      <c r="B68" s="46" t="s">
        <v>91</v>
      </c>
      <c r="C68" s="48" t="s">
        <v>88</v>
      </c>
      <c r="D68" s="49" t="s">
        <v>89</v>
      </c>
      <c r="E68" s="50"/>
      <c r="F68" s="50"/>
      <c r="G68" s="50"/>
      <c r="H68" s="50"/>
      <c r="I68" s="51"/>
      <c r="J68" s="52">
        <v>1.29</v>
      </c>
      <c r="K68" s="53">
        <f t="shared" si="2"/>
        <v>0</v>
      </c>
    </row>
    <row r="69" spans="1:42" s="12" customFormat="1" ht="15" customHeight="1">
      <c r="A69" s="62"/>
      <c r="B69" s="46" t="s">
        <v>92</v>
      </c>
      <c r="C69" s="48" t="s">
        <v>88</v>
      </c>
      <c r="D69" s="49" t="s">
        <v>89</v>
      </c>
      <c r="E69" s="50"/>
      <c r="F69" s="50"/>
      <c r="G69" s="50"/>
      <c r="H69" s="50"/>
      <c r="I69" s="51"/>
      <c r="J69" s="52">
        <v>1.29</v>
      </c>
      <c r="K69" s="53">
        <f t="shared" si="2"/>
        <v>0</v>
      </c>
    </row>
    <row r="70" spans="1:42" s="12" customFormat="1" ht="15" customHeight="1">
      <c r="A70" s="62"/>
      <c r="B70" s="46" t="s">
        <v>93</v>
      </c>
      <c r="C70" s="48" t="s">
        <v>88</v>
      </c>
      <c r="D70" s="49" t="s">
        <v>89</v>
      </c>
      <c r="E70" s="50"/>
      <c r="F70" s="50"/>
      <c r="G70" s="50"/>
      <c r="H70" s="50"/>
      <c r="I70" s="51"/>
      <c r="J70" s="52">
        <v>1.29</v>
      </c>
      <c r="K70" s="53">
        <f t="shared" si="2"/>
        <v>0</v>
      </c>
    </row>
    <row r="71" spans="1:42" s="12" customFormat="1" ht="15" customHeight="1">
      <c r="A71" s="62"/>
      <c r="B71" s="46" t="s">
        <v>94</v>
      </c>
      <c r="C71" s="48" t="s">
        <v>88</v>
      </c>
      <c r="D71" s="49" t="s">
        <v>89</v>
      </c>
      <c r="E71" s="50"/>
      <c r="F71" s="50"/>
      <c r="G71" s="50"/>
      <c r="H71" s="50"/>
      <c r="I71" s="51"/>
      <c r="J71" s="52">
        <v>1.29</v>
      </c>
      <c r="K71" s="53">
        <f t="shared" si="2"/>
        <v>0</v>
      </c>
    </row>
    <row r="72" spans="1:42" s="12" customFormat="1" ht="15" customHeight="1">
      <c r="A72" s="62"/>
      <c r="B72" s="46" t="s">
        <v>95</v>
      </c>
      <c r="C72" s="48" t="s">
        <v>88</v>
      </c>
      <c r="D72" s="49" t="s">
        <v>89</v>
      </c>
      <c r="E72" s="50"/>
      <c r="F72" s="50"/>
      <c r="G72" s="50"/>
      <c r="H72" s="50"/>
      <c r="I72" s="63"/>
      <c r="J72" s="52">
        <v>2.09</v>
      </c>
      <c r="K72" s="53">
        <f t="shared" si="2"/>
        <v>0</v>
      </c>
    </row>
    <row r="73" spans="1:42" s="12" customFormat="1" ht="15" customHeight="1">
      <c r="A73" s="62"/>
      <c r="B73" s="46" t="s">
        <v>96</v>
      </c>
      <c r="C73" s="48" t="s">
        <v>88</v>
      </c>
      <c r="D73" s="49" t="s">
        <v>89</v>
      </c>
      <c r="E73" s="50"/>
      <c r="F73" s="50"/>
      <c r="G73" s="50"/>
      <c r="H73" s="50"/>
      <c r="I73" s="63"/>
      <c r="J73" s="52">
        <v>2.09</v>
      </c>
      <c r="K73" s="53">
        <f t="shared" si="2"/>
        <v>0</v>
      </c>
    </row>
    <row r="74" spans="1:42" s="12" customFormat="1" ht="15" customHeight="1">
      <c r="A74" s="55"/>
      <c r="B74" s="55"/>
      <c r="C74" s="56"/>
      <c r="D74" s="57"/>
      <c r="E74" s="58"/>
      <c r="F74" s="58"/>
      <c r="G74" s="58"/>
      <c r="H74" s="58"/>
      <c r="I74" s="59"/>
      <c r="J74" s="59"/>
      <c r="K74" s="59"/>
    </row>
    <row r="75" spans="1:42" s="12" customFormat="1" ht="15" customHeight="1">
      <c r="A75" s="62"/>
      <c r="B75" s="62" t="s">
        <v>97</v>
      </c>
      <c r="C75" s="64" t="s">
        <v>98</v>
      </c>
      <c r="D75" s="65" t="s">
        <v>99</v>
      </c>
      <c r="E75" s="50"/>
      <c r="F75" s="50"/>
      <c r="G75" s="50"/>
      <c r="H75" s="50"/>
      <c r="I75" s="51"/>
      <c r="J75" s="52">
        <v>24.1</v>
      </c>
      <c r="K75" s="53">
        <f t="shared" ref="K75:K114" si="3">SUM(I75*J75)</f>
        <v>0</v>
      </c>
    </row>
    <row r="76" spans="1:42" s="12" customFormat="1" ht="15" customHeight="1">
      <c r="A76" s="62"/>
      <c r="B76" s="62" t="s">
        <v>100</v>
      </c>
      <c r="C76" s="64" t="s">
        <v>98</v>
      </c>
      <c r="D76" s="65" t="s">
        <v>99</v>
      </c>
      <c r="E76" s="50"/>
      <c r="F76" s="50"/>
      <c r="G76" s="50"/>
      <c r="H76" s="50"/>
      <c r="I76" s="51"/>
      <c r="J76" s="52">
        <v>7.25</v>
      </c>
      <c r="K76" s="53">
        <f t="shared" si="3"/>
        <v>0</v>
      </c>
    </row>
    <row r="77" spans="1:42" s="12" customFormat="1" ht="15" customHeight="1">
      <c r="A77" s="62"/>
      <c r="B77" s="62" t="s">
        <v>101</v>
      </c>
      <c r="C77" s="64" t="s">
        <v>98</v>
      </c>
      <c r="D77" s="65" t="s">
        <v>99</v>
      </c>
      <c r="E77" s="50"/>
      <c r="F77" s="50"/>
      <c r="G77" s="50"/>
      <c r="H77" s="50"/>
      <c r="I77" s="51"/>
      <c r="J77" s="52">
        <v>17.079999999999998</v>
      </c>
      <c r="K77" s="53">
        <f t="shared" si="3"/>
        <v>0</v>
      </c>
    </row>
    <row r="78" spans="1:42" s="12" customFormat="1" ht="15" customHeight="1">
      <c r="A78" s="62"/>
      <c r="B78" s="62" t="s">
        <v>102</v>
      </c>
      <c r="C78" s="64" t="s">
        <v>98</v>
      </c>
      <c r="D78" s="65" t="s">
        <v>99</v>
      </c>
      <c r="E78" s="50"/>
      <c r="F78" s="50"/>
      <c r="G78" s="50"/>
      <c r="H78" s="50"/>
      <c r="I78" s="51"/>
      <c r="J78" s="52">
        <v>35.06</v>
      </c>
      <c r="K78" s="53">
        <f t="shared" si="3"/>
        <v>0</v>
      </c>
    </row>
    <row r="79" spans="1:42" s="12" customFormat="1" ht="15" customHeight="1">
      <c r="A79" s="62"/>
      <c r="B79" s="62" t="s">
        <v>103</v>
      </c>
      <c r="C79" s="64" t="s">
        <v>98</v>
      </c>
      <c r="D79" s="65" t="s">
        <v>99</v>
      </c>
      <c r="E79" s="50"/>
      <c r="F79" s="50"/>
      <c r="G79" s="50"/>
      <c r="H79" s="50"/>
      <c r="I79" s="51"/>
      <c r="J79" s="52">
        <v>8.42</v>
      </c>
      <c r="K79" s="53">
        <f t="shared" si="3"/>
        <v>0</v>
      </c>
    </row>
    <row r="80" spans="1:42" s="12" customFormat="1" ht="15" customHeight="1">
      <c r="A80" s="62"/>
      <c r="B80" s="62" t="s">
        <v>104</v>
      </c>
      <c r="C80" s="64" t="s">
        <v>98</v>
      </c>
      <c r="D80" s="65">
        <v>750</v>
      </c>
      <c r="E80" s="50"/>
      <c r="F80" s="50"/>
      <c r="G80" s="50"/>
      <c r="H80" s="50"/>
      <c r="I80" s="51"/>
      <c r="J80" s="52">
        <v>21</v>
      </c>
      <c r="K80" s="53">
        <f t="shared" si="3"/>
        <v>0</v>
      </c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</row>
    <row r="81" spans="1:11" s="12" customFormat="1" ht="15" customHeight="1">
      <c r="A81" s="62"/>
      <c r="B81" s="62" t="s">
        <v>105</v>
      </c>
      <c r="C81" s="64" t="s">
        <v>98</v>
      </c>
      <c r="D81" s="65" t="s">
        <v>99</v>
      </c>
      <c r="E81" s="50"/>
      <c r="F81" s="50"/>
      <c r="G81" s="50"/>
      <c r="H81" s="50"/>
      <c r="I81" s="51"/>
      <c r="J81" s="52">
        <v>19.100000000000001</v>
      </c>
      <c r="K81" s="53">
        <f t="shared" si="3"/>
        <v>0</v>
      </c>
    </row>
    <row r="82" spans="1:11" s="12" customFormat="1" ht="15" customHeight="1">
      <c r="A82" s="62"/>
      <c r="B82" s="62" t="s">
        <v>106</v>
      </c>
      <c r="C82" s="64" t="s">
        <v>98</v>
      </c>
      <c r="D82" s="65" t="s">
        <v>99</v>
      </c>
      <c r="E82" s="50"/>
      <c r="F82" s="50"/>
      <c r="G82" s="50"/>
      <c r="H82" s="50"/>
      <c r="I82" s="51"/>
      <c r="J82" s="52">
        <v>1.8</v>
      </c>
      <c r="K82" s="53">
        <f t="shared" si="3"/>
        <v>0</v>
      </c>
    </row>
    <row r="83" spans="1:11" s="12" customFormat="1" ht="15" customHeight="1">
      <c r="A83" s="62"/>
      <c r="B83" s="62" t="s">
        <v>107</v>
      </c>
      <c r="C83" s="64" t="s">
        <v>98</v>
      </c>
      <c r="D83" s="65" t="s">
        <v>99</v>
      </c>
      <c r="E83" s="50"/>
      <c r="F83" s="50"/>
      <c r="G83" s="50"/>
      <c r="H83" s="50"/>
      <c r="I83" s="51"/>
      <c r="J83" s="52">
        <v>34.450000000000003</v>
      </c>
      <c r="K83" s="53">
        <f t="shared" si="3"/>
        <v>0</v>
      </c>
    </row>
    <row r="84" spans="1:11" s="12" customFormat="1" ht="15" customHeight="1">
      <c r="A84" s="62"/>
      <c r="B84" s="62" t="s">
        <v>108</v>
      </c>
      <c r="C84" s="64" t="s">
        <v>98</v>
      </c>
      <c r="D84" s="65" t="s">
        <v>99</v>
      </c>
      <c r="E84" s="50"/>
      <c r="F84" s="50"/>
      <c r="G84" s="50"/>
      <c r="H84" s="50"/>
      <c r="I84" s="51"/>
      <c r="J84" s="52">
        <v>19</v>
      </c>
      <c r="K84" s="53">
        <f t="shared" si="3"/>
        <v>0</v>
      </c>
    </row>
    <row r="85" spans="1:11" s="12" customFormat="1" ht="15" customHeight="1">
      <c r="A85" s="62"/>
      <c r="B85" s="62" t="s">
        <v>109</v>
      </c>
      <c r="C85" s="64" t="s">
        <v>98</v>
      </c>
      <c r="D85" s="65" t="s">
        <v>99</v>
      </c>
      <c r="E85" s="50"/>
      <c r="F85" s="50"/>
      <c r="G85" s="50"/>
      <c r="H85" s="50"/>
      <c r="I85" s="51"/>
      <c r="J85" s="52">
        <v>6.64</v>
      </c>
      <c r="K85" s="53">
        <f t="shared" si="3"/>
        <v>0</v>
      </c>
    </row>
    <row r="86" spans="1:11" s="12" customFormat="1" ht="15" customHeight="1">
      <c r="A86" s="62"/>
      <c r="B86" s="62" t="s">
        <v>110</v>
      </c>
      <c r="C86" s="64" t="s">
        <v>98</v>
      </c>
      <c r="D86" s="65" t="s">
        <v>99</v>
      </c>
      <c r="E86" s="50"/>
      <c r="F86" s="50"/>
      <c r="G86" s="50"/>
      <c r="H86" s="50"/>
      <c r="I86" s="51"/>
      <c r="J86" s="52">
        <v>22.47</v>
      </c>
      <c r="K86" s="53">
        <f t="shared" si="3"/>
        <v>0</v>
      </c>
    </row>
    <row r="87" spans="1:11" s="12" customFormat="1" ht="15" customHeight="1">
      <c r="A87" s="62"/>
      <c r="B87" s="62" t="s">
        <v>111</v>
      </c>
      <c r="C87" s="64" t="s">
        <v>98</v>
      </c>
      <c r="D87" s="65" t="s">
        <v>99</v>
      </c>
      <c r="E87" s="50"/>
      <c r="F87" s="50"/>
      <c r="G87" s="50"/>
      <c r="H87" s="50"/>
      <c r="I87" s="51"/>
      <c r="J87" s="52">
        <v>46.72</v>
      </c>
      <c r="K87" s="53">
        <f t="shared" si="3"/>
        <v>0</v>
      </c>
    </row>
    <row r="88" spans="1:11" s="12" customFormat="1" ht="15" customHeight="1">
      <c r="A88" s="62"/>
      <c r="B88" s="62" t="s">
        <v>112</v>
      </c>
      <c r="C88" s="64" t="s">
        <v>98</v>
      </c>
      <c r="D88" s="65" t="s">
        <v>99</v>
      </c>
      <c r="E88" s="50"/>
      <c r="F88" s="50"/>
      <c r="G88" s="50"/>
      <c r="H88" s="50"/>
      <c r="I88" s="51"/>
      <c r="J88" s="52">
        <v>9.6</v>
      </c>
      <c r="K88" s="53">
        <f t="shared" si="3"/>
        <v>0</v>
      </c>
    </row>
    <row r="89" spans="1:11" s="12" customFormat="1" ht="15" customHeight="1">
      <c r="A89" s="62"/>
      <c r="B89" s="62" t="s">
        <v>113</v>
      </c>
      <c r="C89" s="64" t="s">
        <v>98</v>
      </c>
      <c r="D89" s="65" t="s">
        <v>99</v>
      </c>
      <c r="E89" s="50"/>
      <c r="F89" s="50"/>
      <c r="G89" s="50"/>
      <c r="H89" s="50"/>
      <c r="I89" s="51"/>
      <c r="J89" s="52">
        <v>33.5</v>
      </c>
      <c r="K89" s="53">
        <f t="shared" si="3"/>
        <v>0</v>
      </c>
    </row>
    <row r="90" spans="1:11" s="12" customFormat="1" ht="15" customHeight="1">
      <c r="A90" s="62"/>
      <c r="B90" s="62" t="s">
        <v>114</v>
      </c>
      <c r="C90" s="64" t="s">
        <v>98</v>
      </c>
      <c r="D90" s="65" t="s">
        <v>99</v>
      </c>
      <c r="E90" s="50"/>
      <c r="F90" s="50"/>
      <c r="G90" s="50"/>
      <c r="H90" s="50"/>
      <c r="I90" s="51"/>
      <c r="J90" s="52">
        <v>33.5</v>
      </c>
      <c r="K90" s="53">
        <f t="shared" si="3"/>
        <v>0</v>
      </c>
    </row>
    <row r="91" spans="1:11" s="12" customFormat="1" ht="15" customHeight="1">
      <c r="A91" s="62"/>
      <c r="B91" s="62" t="s">
        <v>115</v>
      </c>
      <c r="C91" s="64" t="s">
        <v>98</v>
      </c>
      <c r="D91" s="65" t="s">
        <v>99</v>
      </c>
      <c r="E91" s="50"/>
      <c r="F91" s="50"/>
      <c r="G91" s="50"/>
      <c r="H91" s="50"/>
      <c r="I91" s="51"/>
      <c r="J91" s="52">
        <v>23.24</v>
      </c>
      <c r="K91" s="53">
        <f t="shared" si="3"/>
        <v>0</v>
      </c>
    </row>
    <row r="92" spans="1:11" s="12" customFormat="1" ht="15" customHeight="1">
      <c r="A92" s="62"/>
      <c r="B92" s="62" t="s">
        <v>116</v>
      </c>
      <c r="C92" s="64" t="s">
        <v>98</v>
      </c>
      <c r="D92" s="65" t="s">
        <v>99</v>
      </c>
      <c r="E92" s="50"/>
      <c r="F92" s="50"/>
      <c r="G92" s="50"/>
      <c r="H92" s="50"/>
      <c r="I92" s="51"/>
      <c r="J92" s="52">
        <v>30.74</v>
      </c>
      <c r="K92" s="53">
        <f t="shared" si="3"/>
        <v>0</v>
      </c>
    </row>
    <row r="93" spans="1:11" s="12" customFormat="1" ht="15" customHeight="1">
      <c r="A93" s="62"/>
      <c r="B93" s="62" t="s">
        <v>117</v>
      </c>
      <c r="C93" s="64" t="s">
        <v>98</v>
      </c>
      <c r="D93" s="65" t="s">
        <v>99</v>
      </c>
      <c r="E93" s="50"/>
      <c r="F93" s="50"/>
      <c r="G93" s="50"/>
      <c r="H93" s="50"/>
      <c r="I93" s="51"/>
      <c r="J93" s="52">
        <v>16.239999999999998</v>
      </c>
      <c r="K93" s="53">
        <f t="shared" si="3"/>
        <v>0</v>
      </c>
    </row>
    <row r="94" spans="1:11" s="12" customFormat="1" ht="15" customHeight="1">
      <c r="A94" s="62"/>
      <c r="B94" s="62" t="s">
        <v>118</v>
      </c>
      <c r="C94" s="64" t="s">
        <v>98</v>
      </c>
      <c r="D94" s="65" t="s">
        <v>99</v>
      </c>
      <c r="E94" s="50"/>
      <c r="F94" s="50"/>
      <c r="G94" s="50"/>
      <c r="H94" s="50"/>
      <c r="I94" s="51"/>
      <c r="J94" s="52">
        <v>18.739999999999998</v>
      </c>
      <c r="K94" s="53">
        <f t="shared" si="3"/>
        <v>0</v>
      </c>
    </row>
    <row r="95" spans="1:11" s="12" customFormat="1" ht="15" customHeight="1">
      <c r="A95" s="62"/>
      <c r="B95" s="62" t="s">
        <v>119</v>
      </c>
      <c r="C95" s="64" t="s">
        <v>98</v>
      </c>
      <c r="D95" s="65" t="s">
        <v>99</v>
      </c>
      <c r="E95" s="50"/>
      <c r="F95" s="50"/>
      <c r="G95" s="50"/>
      <c r="H95" s="50"/>
      <c r="I95" s="51"/>
      <c r="J95" s="52">
        <v>31.24</v>
      </c>
      <c r="K95" s="53">
        <f t="shared" si="3"/>
        <v>0</v>
      </c>
    </row>
    <row r="96" spans="1:11" s="12" customFormat="1" ht="15" customHeight="1">
      <c r="A96" s="62"/>
      <c r="B96" s="62" t="s">
        <v>120</v>
      </c>
      <c r="C96" s="64" t="s">
        <v>98</v>
      </c>
      <c r="D96" s="65" t="s">
        <v>121</v>
      </c>
      <c r="E96" s="50"/>
      <c r="F96" s="50"/>
      <c r="G96" s="50"/>
      <c r="H96" s="50"/>
      <c r="I96" s="51"/>
      <c r="J96" s="52">
        <v>34.57</v>
      </c>
      <c r="K96" s="53">
        <f t="shared" si="3"/>
        <v>0</v>
      </c>
    </row>
    <row r="97" spans="1:11" s="12" customFormat="1" ht="15" customHeight="1">
      <c r="A97" s="62"/>
      <c r="B97" s="62" t="s">
        <v>122</v>
      </c>
      <c r="C97" s="64" t="s">
        <v>98</v>
      </c>
      <c r="D97" s="65" t="s">
        <v>99</v>
      </c>
      <c r="E97" s="50"/>
      <c r="F97" s="50"/>
      <c r="G97" s="50"/>
      <c r="H97" s="50"/>
      <c r="I97" s="51"/>
      <c r="J97" s="52">
        <v>25.81</v>
      </c>
      <c r="K97" s="53">
        <f t="shared" si="3"/>
        <v>0</v>
      </c>
    </row>
    <row r="98" spans="1:11" s="12" customFormat="1" ht="15" customHeight="1">
      <c r="A98" s="62"/>
      <c r="B98" s="62" t="s">
        <v>123</v>
      </c>
      <c r="C98" s="64" t="s">
        <v>98</v>
      </c>
      <c r="D98" s="65" t="s">
        <v>99</v>
      </c>
      <c r="E98" s="50"/>
      <c r="F98" s="50"/>
      <c r="G98" s="50"/>
      <c r="H98" s="50"/>
      <c r="I98" s="51"/>
      <c r="J98" s="52">
        <v>8.09</v>
      </c>
      <c r="K98" s="53">
        <f t="shared" si="3"/>
        <v>0</v>
      </c>
    </row>
    <row r="99" spans="1:11" s="12" customFormat="1" ht="15" customHeight="1">
      <c r="A99" s="62"/>
      <c r="B99" s="62" t="s">
        <v>124</v>
      </c>
      <c r="C99" s="64" t="s">
        <v>98</v>
      </c>
      <c r="D99" s="65" t="s">
        <v>99</v>
      </c>
      <c r="E99" s="50"/>
      <c r="F99" s="50"/>
      <c r="G99" s="50"/>
      <c r="H99" s="50"/>
      <c r="I99" s="51"/>
      <c r="J99" s="52">
        <v>16.420000000000002</v>
      </c>
      <c r="K99" s="53">
        <f t="shared" si="3"/>
        <v>0</v>
      </c>
    </row>
    <row r="100" spans="1:11" s="12" customFormat="1" ht="15" customHeight="1">
      <c r="A100" s="62"/>
      <c r="B100" s="62" t="s">
        <v>125</v>
      </c>
      <c r="C100" s="64" t="s">
        <v>98</v>
      </c>
      <c r="D100" s="65" t="s">
        <v>99</v>
      </c>
      <c r="E100" s="50"/>
      <c r="F100" s="50"/>
      <c r="G100" s="50"/>
      <c r="H100" s="50"/>
      <c r="I100" s="51"/>
      <c r="J100" s="52">
        <v>7.64</v>
      </c>
      <c r="K100" s="53">
        <f t="shared" si="3"/>
        <v>0</v>
      </c>
    </row>
    <row r="101" spans="1:11" ht="15" customHeight="1">
      <c r="A101" s="62"/>
      <c r="B101" s="62" t="s">
        <v>126</v>
      </c>
      <c r="C101" s="64" t="s">
        <v>98</v>
      </c>
      <c r="D101" s="65" t="s">
        <v>99</v>
      </c>
      <c r="E101" s="50"/>
      <c r="F101" s="50"/>
      <c r="G101" s="50"/>
      <c r="H101" s="50"/>
      <c r="I101" s="51"/>
      <c r="J101" s="52">
        <v>6.67</v>
      </c>
      <c r="K101" s="53">
        <f t="shared" si="3"/>
        <v>0</v>
      </c>
    </row>
    <row r="102" spans="1:11" s="12" customFormat="1" ht="15" customHeight="1">
      <c r="A102" s="62"/>
      <c r="B102" s="62" t="s">
        <v>127</v>
      </c>
      <c r="C102" s="64" t="s">
        <v>98</v>
      </c>
      <c r="D102" s="65" t="s">
        <v>99</v>
      </c>
      <c r="E102" s="50"/>
      <c r="F102" s="50"/>
      <c r="G102" s="50"/>
      <c r="H102" s="50"/>
      <c r="I102" s="51"/>
      <c r="J102" s="52">
        <v>22.8</v>
      </c>
      <c r="K102" s="53">
        <f t="shared" si="3"/>
        <v>0</v>
      </c>
    </row>
    <row r="103" spans="1:11" s="12" customFormat="1" ht="15" customHeight="1">
      <c r="A103" s="62"/>
      <c r="B103" s="62" t="s">
        <v>128</v>
      </c>
      <c r="C103" s="64" t="s">
        <v>98</v>
      </c>
      <c r="D103" s="65" t="s">
        <v>99</v>
      </c>
      <c r="E103" s="50"/>
      <c r="F103" s="50"/>
      <c r="G103" s="50"/>
      <c r="H103" s="50"/>
      <c r="I103" s="51"/>
      <c r="J103" s="52">
        <v>50.46</v>
      </c>
      <c r="K103" s="53">
        <f t="shared" si="3"/>
        <v>0</v>
      </c>
    </row>
    <row r="104" spans="1:11" s="12" customFormat="1" ht="15" customHeight="1">
      <c r="A104" s="62"/>
      <c r="B104" s="62" t="s">
        <v>129</v>
      </c>
      <c r="C104" s="64" t="s">
        <v>98</v>
      </c>
      <c r="D104" s="65" t="s">
        <v>99</v>
      </c>
      <c r="E104" s="50"/>
      <c r="F104" s="50"/>
      <c r="G104" s="50"/>
      <c r="H104" s="50"/>
      <c r="I104" s="51"/>
      <c r="J104" s="52">
        <v>18.489999999999998</v>
      </c>
      <c r="K104" s="53">
        <f t="shared" si="3"/>
        <v>0</v>
      </c>
    </row>
    <row r="105" spans="1:11" s="12" customFormat="1" ht="15" customHeight="1">
      <c r="A105" s="62"/>
      <c r="B105" s="62" t="s">
        <v>130</v>
      </c>
      <c r="C105" s="64" t="s">
        <v>98</v>
      </c>
      <c r="D105" s="65" t="s">
        <v>99</v>
      </c>
      <c r="E105" s="50"/>
      <c r="F105" s="50"/>
      <c r="G105" s="50"/>
      <c r="H105" s="50"/>
      <c r="I105" s="51"/>
      <c r="J105" s="52">
        <v>9.69</v>
      </c>
      <c r="K105" s="53">
        <f t="shared" si="3"/>
        <v>0</v>
      </c>
    </row>
    <row r="106" spans="1:11" s="12" customFormat="1" ht="15" customHeight="1">
      <c r="A106" s="62"/>
      <c r="B106" s="62" t="s">
        <v>131</v>
      </c>
      <c r="C106" s="64" t="s">
        <v>98</v>
      </c>
      <c r="D106" s="65" t="s">
        <v>99</v>
      </c>
      <c r="E106" s="50"/>
      <c r="F106" s="50"/>
      <c r="G106" s="50"/>
      <c r="H106" s="50"/>
      <c r="I106" s="51"/>
      <c r="J106" s="52">
        <v>19.84</v>
      </c>
      <c r="K106" s="53">
        <f t="shared" si="3"/>
        <v>0</v>
      </c>
    </row>
    <row r="107" spans="1:11" s="12" customFormat="1" ht="15" customHeight="1">
      <c r="A107" s="62"/>
      <c r="B107" s="62" t="s">
        <v>132</v>
      </c>
      <c r="C107" s="64" t="s">
        <v>98</v>
      </c>
      <c r="D107" s="65" t="s">
        <v>99</v>
      </c>
      <c r="E107" s="50"/>
      <c r="F107" s="50"/>
      <c r="G107" s="50"/>
      <c r="H107" s="50"/>
      <c r="I107" s="51"/>
      <c r="J107" s="52">
        <v>4.8899999999999997</v>
      </c>
      <c r="K107" s="53">
        <f t="shared" si="3"/>
        <v>0</v>
      </c>
    </row>
    <row r="108" spans="1:11" s="12" customFormat="1" ht="15" customHeight="1">
      <c r="A108" s="62"/>
      <c r="B108" s="62" t="s">
        <v>133</v>
      </c>
      <c r="C108" s="64" t="s">
        <v>98</v>
      </c>
      <c r="D108" s="65" t="s">
        <v>99</v>
      </c>
      <c r="E108" s="50"/>
      <c r="F108" s="50"/>
      <c r="G108" s="50"/>
      <c r="H108" s="50"/>
      <c r="I108" s="51"/>
      <c r="J108" s="52">
        <v>5.41</v>
      </c>
      <c r="K108" s="53">
        <f t="shared" si="3"/>
        <v>0</v>
      </c>
    </row>
    <row r="109" spans="1:11" s="12" customFormat="1" ht="15" customHeight="1">
      <c r="A109" s="62"/>
      <c r="B109" s="62" t="s">
        <v>134</v>
      </c>
      <c r="C109" s="64" t="s">
        <v>98</v>
      </c>
      <c r="D109" s="65">
        <v>750</v>
      </c>
      <c r="E109" s="50"/>
      <c r="F109" s="50"/>
      <c r="G109" s="50"/>
      <c r="H109" s="50"/>
      <c r="I109" s="51"/>
      <c r="J109" s="52">
        <v>5.8</v>
      </c>
      <c r="K109" s="53">
        <f t="shared" si="3"/>
        <v>0</v>
      </c>
    </row>
    <row r="110" spans="1:11" s="12" customFormat="1" ht="15" customHeight="1">
      <c r="A110" s="62"/>
      <c r="B110" s="62" t="s">
        <v>135</v>
      </c>
      <c r="C110" s="64" t="s">
        <v>98</v>
      </c>
      <c r="D110" s="65" t="s">
        <v>99</v>
      </c>
      <c r="E110" s="50"/>
      <c r="F110" s="50"/>
      <c r="G110" s="50"/>
      <c r="H110" s="50"/>
      <c r="I110" s="51"/>
      <c r="J110" s="52">
        <v>6.64</v>
      </c>
      <c r="K110" s="53">
        <f t="shared" si="3"/>
        <v>0</v>
      </c>
    </row>
    <row r="111" spans="1:11" s="12" customFormat="1" ht="15" customHeight="1">
      <c r="A111" s="62"/>
      <c r="B111" s="62" t="s">
        <v>136</v>
      </c>
      <c r="C111" s="64" t="s">
        <v>98</v>
      </c>
      <c r="D111" s="65" t="s">
        <v>99</v>
      </c>
      <c r="E111" s="50"/>
      <c r="F111" s="50"/>
      <c r="G111" s="50"/>
      <c r="H111" s="50"/>
      <c r="I111" s="51"/>
      <c r="J111" s="52">
        <v>32.4</v>
      </c>
      <c r="K111" s="53">
        <f t="shared" si="3"/>
        <v>0</v>
      </c>
    </row>
    <row r="112" spans="1:11" s="12" customFormat="1" ht="15" customHeight="1">
      <c r="A112" s="62"/>
      <c r="B112" s="62" t="s">
        <v>137</v>
      </c>
      <c r="C112" s="64" t="s">
        <v>98</v>
      </c>
      <c r="D112" s="65" t="s">
        <v>99</v>
      </c>
      <c r="E112" s="50"/>
      <c r="F112" s="50"/>
      <c r="G112" s="50"/>
      <c r="H112" s="50"/>
      <c r="I112" s="51"/>
      <c r="J112" s="52">
        <v>25.83</v>
      </c>
      <c r="K112" s="67">
        <f t="shared" si="3"/>
        <v>0</v>
      </c>
    </row>
    <row r="113" spans="1:11" s="12" customFormat="1" ht="15" customHeight="1">
      <c r="A113" s="62"/>
      <c r="B113" s="62" t="s">
        <v>138</v>
      </c>
      <c r="C113" s="64" t="s">
        <v>98</v>
      </c>
      <c r="D113" s="65" t="s">
        <v>99</v>
      </c>
      <c r="E113" s="50"/>
      <c r="F113" s="50"/>
      <c r="G113" s="50"/>
      <c r="H113" s="50"/>
      <c r="I113" s="51"/>
      <c r="J113" s="52">
        <v>21.8</v>
      </c>
      <c r="K113" s="67">
        <f t="shared" si="3"/>
        <v>0</v>
      </c>
    </row>
    <row r="114" spans="1:11" s="12" customFormat="1" ht="15" customHeight="1">
      <c r="A114" s="62"/>
      <c r="B114" s="71" t="s">
        <v>139</v>
      </c>
      <c r="C114" s="48" t="s">
        <v>98</v>
      </c>
      <c r="D114" s="49" t="s">
        <v>99</v>
      </c>
      <c r="E114" s="50"/>
      <c r="F114" s="50"/>
      <c r="G114" s="50"/>
      <c r="H114" s="50"/>
      <c r="I114" s="51"/>
      <c r="J114" s="68"/>
      <c r="K114" s="67">
        <f t="shared" si="3"/>
        <v>0</v>
      </c>
    </row>
    <row r="115" spans="1:11" ht="18" customHeight="1">
      <c r="A115" s="12"/>
      <c r="C115" s="1"/>
      <c r="D115" s="1"/>
      <c r="E115" s="3"/>
      <c r="F115" s="3"/>
      <c r="H115" s="3"/>
      <c r="I115" s="3"/>
      <c r="J115" s="69" t="s">
        <v>26</v>
      </c>
      <c r="K115" s="70">
        <f>SUM(K12:K112)</f>
        <v>0</v>
      </c>
    </row>
    <row r="116" spans="1:11" ht="14.25" customHeight="1">
      <c r="K116" s="42"/>
    </row>
  </sheetData>
  <pageMargins left="0.42986111111111103" right="0.5" top="0.47986111111111102" bottom="0.5" header="0.25" footer="0"/>
  <pageSetup scale="95" orientation="landscape" horizontalDpi="300" verticalDpi="300" r:id="rId1"/>
  <headerFooter>
    <oddHeader>&amp;L&amp;11 &amp;D&amp;C&amp;11 MORALE, WELFARE &amp;&amp; RECREATION&amp;R&amp;11NAVSTA GREAT LAKES&amp;12</oddHeader>
    <oddFooter>&amp;L&amp;11 &amp;F&amp;C&amp;11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portantFilesJimHiggins xmlns="c50c03fa-f7de-4d76-9dc1-21bfa412dde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E07980F7E1984A87D7A19D90543F51" ma:contentTypeVersion="5" ma:contentTypeDescription="Create a new document." ma:contentTypeScope="" ma:versionID="ac173f68bfa5cf933baaa46356672a73">
  <xsd:schema xmlns:xsd="http://www.w3.org/2001/XMLSchema" xmlns:xs="http://www.w3.org/2001/XMLSchema" xmlns:p="http://schemas.microsoft.com/office/2006/metadata/properties" xmlns:ns2="c50c03fa-f7de-4d76-9dc1-21bfa412dde9" targetNamespace="http://schemas.microsoft.com/office/2006/metadata/properties" ma:root="true" ma:fieldsID="90599ae8692714cd4ff7de1dcb68583c" ns2:_="">
    <xsd:import namespace="c50c03fa-f7de-4d76-9dc1-21bfa412dd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ImportantFilesJimHiggi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c03fa-f7de-4d76-9dc1-21bfa412dd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ImportantFilesJimHiggins" ma:index="12" nillable="true" ma:displayName="Important Files Jim Higgins" ma:format="Dropdown" ma:internalName="ImportantFilesJimHiggins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928FFC-DB94-4C05-8A3C-5350C27D3705}"/>
</file>

<file path=customXml/itemProps2.xml><?xml version="1.0" encoding="utf-8"?>
<ds:datastoreItem xmlns:ds="http://schemas.openxmlformats.org/officeDocument/2006/customXml" ds:itemID="{C047478D-E86A-4A1B-9E5E-E72B377EC8D6}"/>
</file>

<file path=customXml/itemProps3.xml><?xml version="1.0" encoding="utf-8"?>
<ds:datastoreItem xmlns:ds="http://schemas.openxmlformats.org/officeDocument/2006/customXml" ds:itemID="{83185572-881D-4F97-816F-9E158F999C03}"/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Buckley's - Bar</dc:title>
  <dc:subject/>
  <dc:creator>Jackie Chambers</dc:creator>
  <cp:keywords/>
  <dc:description/>
  <cp:lastModifiedBy>Stadlman, Megan M CIV USN NAVSTA GRL IL (USA)</cp:lastModifiedBy>
  <cp:revision>0</cp:revision>
  <dcterms:created xsi:type="dcterms:W3CDTF">1999-12-21T14:29:06Z</dcterms:created>
  <dcterms:modified xsi:type="dcterms:W3CDTF">2026-09-08T22:07:39Z</dcterms:modified>
  <cp:category>Inventory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0x0101008AE07980F7E1984A87D7A19D90543F51</vt:lpwstr>
  </property>
  <property fmtid="{D5CDD505-2E9C-101B-9397-08002B2CF9AE}" pid="3" name="_NewReviewCycle">
    <vt:lpwstr/>
  </property>
</Properties>
</file>